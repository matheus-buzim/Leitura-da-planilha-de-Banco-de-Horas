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bluzzsaude-my.sharepoint.com/personal/matheus_vieira_bluzzsaude_com_br/Documents/Área de Trabalho/"/>
    </mc:Choice>
  </mc:AlternateContent>
  <xr:revisionPtr revIDLastSave="0" documentId="8_{DAB8E40C-78F8-438F-8FE0-BADD43E72D32}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Jan.25" sheetId="16" state="hidden" r:id="rId1"/>
    <sheet name="Fev.25" sheetId="17" state="hidden" r:id="rId2"/>
    <sheet name="Mar.25" sheetId="18" state="hidden" r:id="rId3"/>
    <sheet name="Abr.25" sheetId="19" state="hidden" r:id="rId4"/>
    <sheet name="Mai.25" sheetId="20" state="hidden" r:id="rId5"/>
    <sheet name="Jun.25" sheetId="21" state="hidden" r:id="rId6"/>
    <sheet name="Jul.25" sheetId="22" state="hidden" r:id="rId7"/>
    <sheet name="Ago.25" sheetId="23" state="hidden" r:id="rId8"/>
    <sheet name="Mai.26" sheetId="32" r:id="rId9"/>
    <sheet name="Jun.26" sheetId="33" r:id="rId10"/>
    <sheet name="Jul.26" sheetId="34" r:id="rId11"/>
    <sheet name="Ago.26" sheetId="35" r:id="rId12"/>
    <sheet name="Set.26" sheetId="36" r:id="rId13"/>
    <sheet name="Out.26" sheetId="38" r:id="rId14"/>
    <sheet name="Nov.26" sheetId="40" r:id="rId15"/>
    <sheet name="Dez.26" sheetId="41" r:id="rId16"/>
    <sheet name="Não Apagar" sheetId="9" r:id="rId17"/>
  </sheets>
  <definedNames>
    <definedName name="Saldo_Ago24">#REF!</definedName>
    <definedName name="Saldo_Jul24">#REF!</definedName>
    <definedName name="Saldo_Jun24">#REF!</definedName>
    <definedName name="Saldo_nov24">#REF!</definedName>
    <definedName name="SAldo_out24">#REF!</definedName>
    <definedName name="Saldo_Set24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3" l="1"/>
  <c r="K15" i="33" s="1"/>
  <c r="I43" i="41"/>
  <c r="J43" i="41"/>
  <c r="K43" i="41"/>
  <c r="C54" i="41"/>
  <c r="K42" i="41"/>
  <c r="J42" i="41"/>
  <c r="I42" i="41"/>
  <c r="K41" i="41" s="1"/>
  <c r="J41" i="41"/>
  <c r="I41" i="41"/>
  <c r="K40" i="41"/>
  <c r="J40" i="41"/>
  <c r="I40" i="41"/>
  <c r="K37" i="41"/>
  <c r="J37" i="41"/>
  <c r="I37" i="41"/>
  <c r="K36" i="41"/>
  <c r="J36" i="41"/>
  <c r="I36" i="41"/>
  <c r="K35" i="41" s="1"/>
  <c r="J35" i="41"/>
  <c r="I35" i="41"/>
  <c r="K34" i="41" s="1"/>
  <c r="J34" i="41"/>
  <c r="I34" i="41"/>
  <c r="K33" i="41"/>
  <c r="J33" i="41"/>
  <c r="I33" i="41"/>
  <c r="K30" i="41"/>
  <c r="J30" i="41"/>
  <c r="I30" i="41"/>
  <c r="K29" i="41"/>
  <c r="J29" i="41"/>
  <c r="I29" i="41"/>
  <c r="K28" i="41"/>
  <c r="J28" i="41"/>
  <c r="I28" i="41"/>
  <c r="K27" i="41"/>
  <c r="J27" i="41"/>
  <c r="I27" i="41"/>
  <c r="K26" i="41"/>
  <c r="J26" i="41"/>
  <c r="I26" i="41"/>
  <c r="K23" i="41"/>
  <c r="J23" i="41"/>
  <c r="I23" i="41"/>
  <c r="K22" i="41"/>
  <c r="J22" i="41"/>
  <c r="I22" i="41"/>
  <c r="K21" i="41"/>
  <c r="J21" i="41"/>
  <c r="I21" i="41"/>
  <c r="K20" i="41"/>
  <c r="J20" i="41"/>
  <c r="I20" i="41"/>
  <c r="K19" i="41"/>
  <c r="J19" i="41"/>
  <c r="I19" i="41"/>
  <c r="K16" i="41"/>
  <c r="J16" i="41"/>
  <c r="I16" i="41"/>
  <c r="K15" i="41"/>
  <c r="J15" i="41"/>
  <c r="I15" i="41"/>
  <c r="K14" i="41"/>
  <c r="J14" i="41"/>
  <c r="I14" i="41"/>
  <c r="K13" i="41" s="1"/>
  <c r="J13" i="41"/>
  <c r="I13" i="41"/>
  <c r="C54" i="40"/>
  <c r="J43" i="40"/>
  <c r="I43" i="40"/>
  <c r="K43" i="40" s="1"/>
  <c r="J42" i="40"/>
  <c r="I42" i="40"/>
  <c r="K42" i="40" s="1"/>
  <c r="J39" i="40"/>
  <c r="I39" i="40"/>
  <c r="K39" i="40" s="1"/>
  <c r="J38" i="40"/>
  <c r="I38" i="40"/>
  <c r="K38" i="40" s="1"/>
  <c r="J37" i="40"/>
  <c r="I37" i="40"/>
  <c r="K37" i="40" s="1"/>
  <c r="J36" i="40"/>
  <c r="I36" i="40"/>
  <c r="K36" i="40" s="1"/>
  <c r="J35" i="40"/>
  <c r="I35" i="40"/>
  <c r="K35" i="40" s="1"/>
  <c r="J32" i="40"/>
  <c r="I32" i="40"/>
  <c r="K32" i="40" s="1"/>
  <c r="J31" i="40"/>
  <c r="I31" i="40"/>
  <c r="K31" i="40" s="1"/>
  <c r="J30" i="40"/>
  <c r="I30" i="40"/>
  <c r="K30" i="40" s="1"/>
  <c r="J29" i="40"/>
  <c r="I29" i="40"/>
  <c r="K29" i="40" s="1"/>
  <c r="J28" i="40"/>
  <c r="I28" i="40"/>
  <c r="K28" i="40" s="1"/>
  <c r="J25" i="40"/>
  <c r="I25" i="40"/>
  <c r="K25" i="40" s="1"/>
  <c r="J24" i="40"/>
  <c r="I24" i="40"/>
  <c r="K24" i="40" s="1"/>
  <c r="J23" i="40"/>
  <c r="I23" i="40"/>
  <c r="K23" i="40" s="1"/>
  <c r="K22" i="40"/>
  <c r="J22" i="40"/>
  <c r="I22" i="40"/>
  <c r="J21" i="40"/>
  <c r="I21" i="40"/>
  <c r="K21" i="40" s="1"/>
  <c r="J18" i="40"/>
  <c r="I18" i="40"/>
  <c r="K18" i="40" s="1"/>
  <c r="J17" i="40"/>
  <c r="I17" i="40"/>
  <c r="K17" i="40" s="1"/>
  <c r="J16" i="40"/>
  <c r="I16" i="40"/>
  <c r="K16" i="40" s="1"/>
  <c r="J15" i="40"/>
  <c r="I15" i="40"/>
  <c r="K15" i="40" s="1"/>
  <c r="K14" i="40"/>
  <c r="J14" i="40"/>
  <c r="I14" i="40"/>
  <c r="C54" i="38"/>
  <c r="J42" i="38"/>
  <c r="I42" i="38"/>
  <c r="K42" i="38" s="1"/>
  <c r="J41" i="38"/>
  <c r="I41" i="38"/>
  <c r="K41" i="38" s="1"/>
  <c r="J40" i="38"/>
  <c r="I40" i="38"/>
  <c r="K40" i="38" s="1"/>
  <c r="J39" i="38"/>
  <c r="I39" i="38"/>
  <c r="K39" i="38" s="1"/>
  <c r="J38" i="38"/>
  <c r="I38" i="38"/>
  <c r="K38" i="38" s="1"/>
  <c r="J35" i="38"/>
  <c r="I35" i="38"/>
  <c r="K35" i="38" s="1"/>
  <c r="J34" i="38"/>
  <c r="I34" i="38"/>
  <c r="K34" i="38" s="1"/>
  <c r="J33" i="38"/>
  <c r="I33" i="38"/>
  <c r="K33" i="38" s="1"/>
  <c r="J32" i="38"/>
  <c r="I32" i="38"/>
  <c r="K32" i="38" s="1"/>
  <c r="J31" i="38"/>
  <c r="I31" i="38"/>
  <c r="K31" i="38" s="1"/>
  <c r="J28" i="38"/>
  <c r="I28" i="38"/>
  <c r="K28" i="38" s="1"/>
  <c r="J27" i="38"/>
  <c r="I27" i="38"/>
  <c r="K27" i="38" s="1"/>
  <c r="J26" i="38"/>
  <c r="I26" i="38"/>
  <c r="K26" i="38" s="1"/>
  <c r="J25" i="38"/>
  <c r="I25" i="38"/>
  <c r="K25" i="38" s="1"/>
  <c r="J24" i="38"/>
  <c r="I24" i="38"/>
  <c r="K24" i="38" s="1"/>
  <c r="J21" i="38"/>
  <c r="I21" i="38"/>
  <c r="K21" i="38" s="1"/>
  <c r="J20" i="38"/>
  <c r="I20" i="38"/>
  <c r="K20" i="38" s="1"/>
  <c r="J19" i="38"/>
  <c r="I19" i="38"/>
  <c r="K19" i="38" s="1"/>
  <c r="J18" i="38"/>
  <c r="I18" i="38"/>
  <c r="K18" i="38" s="1"/>
  <c r="J17" i="38"/>
  <c r="I17" i="38"/>
  <c r="K17" i="38" s="1"/>
  <c r="J14" i="38"/>
  <c r="I14" i="38"/>
  <c r="K14" i="38" s="1"/>
  <c r="J13" i="38"/>
  <c r="I13" i="38"/>
  <c r="K13" i="38" s="1"/>
  <c r="I15" i="36"/>
  <c r="J15" i="36"/>
  <c r="K15" i="36"/>
  <c r="I16" i="36"/>
  <c r="J16" i="36"/>
  <c r="K16" i="36"/>
  <c r="I19" i="36"/>
  <c r="J19" i="36"/>
  <c r="I20" i="36"/>
  <c r="K19" i="36" s="1"/>
  <c r="J20" i="36"/>
  <c r="I21" i="36"/>
  <c r="K20" i="36" s="1"/>
  <c r="J21" i="36"/>
  <c r="I22" i="36"/>
  <c r="K21" i="36" s="1"/>
  <c r="J22" i="36"/>
  <c r="I23" i="36"/>
  <c r="K22" i="36" s="1"/>
  <c r="J23" i="36"/>
  <c r="K23" i="36"/>
  <c r="I26" i="36"/>
  <c r="J26" i="36"/>
  <c r="I27" i="36"/>
  <c r="K26" i="36" s="1"/>
  <c r="J27" i="36"/>
  <c r="I28" i="36"/>
  <c r="K27" i="36" s="1"/>
  <c r="J28" i="36"/>
  <c r="I29" i="36"/>
  <c r="K28" i="36" s="1"/>
  <c r="J29" i="36"/>
  <c r="I30" i="36"/>
  <c r="K29" i="36" s="1"/>
  <c r="J30" i="36"/>
  <c r="K30" i="36"/>
  <c r="I33" i="36"/>
  <c r="J33" i="36"/>
  <c r="I34" i="36"/>
  <c r="K33" i="36" s="1"/>
  <c r="J34" i="36"/>
  <c r="I35" i="36"/>
  <c r="K34" i="36" s="1"/>
  <c r="J35" i="36"/>
  <c r="I36" i="36"/>
  <c r="K35" i="36" s="1"/>
  <c r="J36" i="36"/>
  <c r="I37" i="36"/>
  <c r="K36" i="36" s="1"/>
  <c r="J37" i="36"/>
  <c r="K37" i="36"/>
  <c r="I40" i="36"/>
  <c r="J40" i="36"/>
  <c r="I41" i="36"/>
  <c r="K40" i="36" s="1"/>
  <c r="J41" i="36"/>
  <c r="I42" i="36"/>
  <c r="K41" i="36" s="1"/>
  <c r="J42" i="36"/>
  <c r="K42" i="36"/>
  <c r="I13" i="36"/>
  <c r="J13" i="36"/>
  <c r="I14" i="36"/>
  <c r="K13" i="36" s="1"/>
  <c r="J14" i="36"/>
  <c r="K14" i="36"/>
  <c r="C54" i="36"/>
  <c r="I17" i="35"/>
  <c r="J17" i="35"/>
  <c r="I18" i="35"/>
  <c r="K17" i="35" s="1"/>
  <c r="J18" i="35"/>
  <c r="I19" i="35"/>
  <c r="K18" i="35" s="1"/>
  <c r="J19" i="35"/>
  <c r="K19" i="35"/>
  <c r="I22" i="35"/>
  <c r="J22" i="35"/>
  <c r="I23" i="35"/>
  <c r="K22" i="35" s="1"/>
  <c r="J23" i="35"/>
  <c r="I24" i="35"/>
  <c r="K23" i="35" s="1"/>
  <c r="J24" i="35"/>
  <c r="I25" i="35"/>
  <c r="K24" i="35" s="1"/>
  <c r="J25" i="35"/>
  <c r="I26" i="35"/>
  <c r="K25" i="35" s="1"/>
  <c r="J26" i="35"/>
  <c r="K26" i="35"/>
  <c r="I29" i="35"/>
  <c r="J29" i="35"/>
  <c r="I30" i="35"/>
  <c r="K29" i="35" s="1"/>
  <c r="J30" i="35"/>
  <c r="I31" i="35"/>
  <c r="K30" i="35" s="1"/>
  <c r="J31" i="35"/>
  <c r="I32" i="35"/>
  <c r="K31" i="35" s="1"/>
  <c r="J32" i="35"/>
  <c r="I33" i="35"/>
  <c r="K32" i="35" s="1"/>
  <c r="J33" i="35"/>
  <c r="K33" i="35"/>
  <c r="I36" i="35"/>
  <c r="J36" i="35"/>
  <c r="I37" i="35"/>
  <c r="K36" i="35" s="1"/>
  <c r="J37" i="35"/>
  <c r="I38" i="35"/>
  <c r="K37" i="35" s="1"/>
  <c r="J38" i="35"/>
  <c r="I39" i="35"/>
  <c r="K38" i="35" s="1"/>
  <c r="J39" i="35"/>
  <c r="I40" i="35"/>
  <c r="K39" i="35" s="1"/>
  <c r="J40" i="35"/>
  <c r="K40" i="35"/>
  <c r="C54" i="35"/>
  <c r="K16" i="35"/>
  <c r="J16" i="35"/>
  <c r="I16" i="35"/>
  <c r="K15" i="35" s="1"/>
  <c r="J15" i="35"/>
  <c r="I15" i="35"/>
  <c r="I15" i="34"/>
  <c r="J15" i="34"/>
  <c r="K15" i="34"/>
  <c r="I18" i="34"/>
  <c r="J18" i="34"/>
  <c r="I19" i="34"/>
  <c r="K18" i="34" s="1"/>
  <c r="J19" i="34"/>
  <c r="I20" i="34"/>
  <c r="K19" i="34" s="1"/>
  <c r="J20" i="34"/>
  <c r="I21" i="34"/>
  <c r="K20" i="34" s="1"/>
  <c r="J21" i="34"/>
  <c r="I22" i="34"/>
  <c r="K21" i="34" s="1"/>
  <c r="J22" i="34"/>
  <c r="K22" i="34"/>
  <c r="I25" i="34"/>
  <c r="J25" i="34"/>
  <c r="I26" i="34"/>
  <c r="K25" i="34" s="1"/>
  <c r="J26" i="34"/>
  <c r="I27" i="34"/>
  <c r="K26" i="34" s="1"/>
  <c r="J27" i="34"/>
  <c r="I28" i="34"/>
  <c r="K27" i="34" s="1"/>
  <c r="J28" i="34"/>
  <c r="I29" i="34"/>
  <c r="K28" i="34" s="1"/>
  <c r="J29" i="34"/>
  <c r="K29" i="34"/>
  <c r="I32" i="34"/>
  <c r="J32" i="34"/>
  <c r="I33" i="34"/>
  <c r="K32" i="34" s="1"/>
  <c r="J33" i="34"/>
  <c r="I34" i="34"/>
  <c r="K33" i="34" s="1"/>
  <c r="J34" i="34"/>
  <c r="I35" i="34"/>
  <c r="K34" i="34" s="1"/>
  <c r="J35" i="34"/>
  <c r="I36" i="34"/>
  <c r="K35" i="34" s="1"/>
  <c r="J36" i="34"/>
  <c r="K36" i="34"/>
  <c r="I39" i="34"/>
  <c r="J39" i="34"/>
  <c r="I40" i="34"/>
  <c r="K39" i="34" s="1"/>
  <c r="J40" i="34"/>
  <c r="I41" i="34"/>
  <c r="K40" i="34" s="1"/>
  <c r="J41" i="34"/>
  <c r="I42" i="34"/>
  <c r="K41" i="34" s="1"/>
  <c r="J42" i="34"/>
  <c r="K42" i="34"/>
  <c r="C54" i="34"/>
  <c r="K14" i="34"/>
  <c r="J14" i="34"/>
  <c r="I14" i="34"/>
  <c r="K13" i="34"/>
  <c r="J13" i="34"/>
  <c r="I13" i="34"/>
  <c r="I14" i="33"/>
  <c r="J14" i="33"/>
  <c r="I15" i="33"/>
  <c r="K14" i="33" s="1"/>
  <c r="J15" i="33"/>
  <c r="J16" i="33"/>
  <c r="I17" i="33"/>
  <c r="K16" i="33" s="1"/>
  <c r="J17" i="33"/>
  <c r="K17" i="33"/>
  <c r="I20" i="33"/>
  <c r="J20" i="33"/>
  <c r="I21" i="33"/>
  <c r="K20" i="33" s="1"/>
  <c r="J21" i="33"/>
  <c r="I22" i="33"/>
  <c r="K21" i="33" s="1"/>
  <c r="J22" i="33"/>
  <c r="I23" i="33"/>
  <c r="K22" i="33" s="1"/>
  <c r="J23" i="33"/>
  <c r="I24" i="33"/>
  <c r="K23" i="33" s="1"/>
  <c r="J24" i="33"/>
  <c r="K24" i="33"/>
  <c r="I27" i="33"/>
  <c r="J27" i="33"/>
  <c r="I28" i="33"/>
  <c r="K27" i="33" s="1"/>
  <c r="J28" i="33"/>
  <c r="I29" i="33"/>
  <c r="K28" i="33" s="1"/>
  <c r="J29" i="33"/>
  <c r="I30" i="33"/>
  <c r="K29" i="33" s="1"/>
  <c r="J30" i="33"/>
  <c r="I31" i="33"/>
  <c r="K30" i="33" s="1"/>
  <c r="J31" i="33"/>
  <c r="K31" i="33"/>
  <c r="I34" i="33"/>
  <c r="J34" i="33"/>
  <c r="I35" i="33"/>
  <c r="K34" i="33" s="1"/>
  <c r="J35" i="33"/>
  <c r="I36" i="33"/>
  <c r="K35" i="33" s="1"/>
  <c r="J36" i="33"/>
  <c r="I37" i="33"/>
  <c r="K36" i="33" s="1"/>
  <c r="J37" i="33"/>
  <c r="I38" i="33"/>
  <c r="K37" i="33" s="1"/>
  <c r="J38" i="33"/>
  <c r="K38" i="33"/>
  <c r="I41" i="33"/>
  <c r="J41" i="33"/>
  <c r="I42" i="33"/>
  <c r="K41" i="33" s="1"/>
  <c r="J42" i="33"/>
  <c r="K42" i="33"/>
  <c r="K13" i="33"/>
  <c r="J13" i="33"/>
  <c r="I13" i="33"/>
  <c r="C54" i="33"/>
  <c r="I17" i="32"/>
  <c r="K17" i="32" s="1"/>
  <c r="J17" i="32"/>
  <c r="I18" i="32"/>
  <c r="K18" i="32" s="1"/>
  <c r="J18" i="32"/>
  <c r="I19" i="32"/>
  <c r="J19" i="32"/>
  <c r="K19" i="32"/>
  <c r="I20" i="32"/>
  <c r="J20" i="32"/>
  <c r="K20" i="32"/>
  <c r="I21" i="32"/>
  <c r="J21" i="32"/>
  <c r="K21" i="32"/>
  <c r="I24" i="32"/>
  <c r="K24" i="32" s="1"/>
  <c r="J24" i="32"/>
  <c r="I25" i="32"/>
  <c r="J25" i="32"/>
  <c r="K25" i="32"/>
  <c r="I26" i="32"/>
  <c r="J26" i="32"/>
  <c r="K26" i="32"/>
  <c r="I27" i="32"/>
  <c r="J27" i="32"/>
  <c r="K27" i="32"/>
  <c r="I28" i="32"/>
  <c r="J28" i="32"/>
  <c r="K28" i="32"/>
  <c r="I31" i="32"/>
  <c r="K31" i="32" s="1"/>
  <c r="J31" i="32"/>
  <c r="I32" i="32"/>
  <c r="J32" i="32"/>
  <c r="K32" i="32"/>
  <c r="I33" i="32"/>
  <c r="J33" i="32"/>
  <c r="K33" i="32"/>
  <c r="I34" i="32"/>
  <c r="K34" i="32" s="1"/>
  <c r="J34" i="32"/>
  <c r="I35" i="32"/>
  <c r="K35" i="32" s="1"/>
  <c r="J35" i="32"/>
  <c r="I38" i="32"/>
  <c r="K38" i="32" s="1"/>
  <c r="J38" i="32"/>
  <c r="I39" i="32"/>
  <c r="K39" i="32" s="1"/>
  <c r="J39" i="32"/>
  <c r="I40" i="32"/>
  <c r="J40" i="32"/>
  <c r="K40" i="32"/>
  <c r="I41" i="32"/>
  <c r="J41" i="32"/>
  <c r="K41" i="32"/>
  <c r="I42" i="32"/>
  <c r="K42" i="32" s="1"/>
  <c r="J42" i="32"/>
  <c r="C54" i="32"/>
  <c r="J14" i="32"/>
  <c r="I14" i="32"/>
  <c r="K14" i="32" s="1"/>
  <c r="L14" i="32" s="1"/>
  <c r="B6" i="9"/>
  <c r="B8" i="9"/>
  <c r="B7" i="9"/>
  <c r="B5" i="9" s="1"/>
  <c r="B4" i="9" s="1"/>
  <c r="B3" i="9" s="1"/>
  <c r="C54" i="23"/>
  <c r="D44" i="23"/>
  <c r="C44" i="23"/>
  <c r="D43" i="23"/>
  <c r="C43" i="23"/>
  <c r="K42" i="23"/>
  <c r="J42" i="23"/>
  <c r="I42" i="23"/>
  <c r="D42" i="23"/>
  <c r="C42" i="23"/>
  <c r="K41" i="23"/>
  <c r="J41" i="23"/>
  <c r="I41" i="23"/>
  <c r="D41" i="23"/>
  <c r="C41" i="23"/>
  <c r="K40" i="23"/>
  <c r="J40" i="23"/>
  <c r="I40" i="23"/>
  <c r="D40" i="23"/>
  <c r="C40" i="23"/>
  <c r="K39" i="23"/>
  <c r="J39" i="23"/>
  <c r="I39" i="23"/>
  <c r="D39" i="23"/>
  <c r="C39" i="23"/>
  <c r="K38" i="23"/>
  <c r="J38" i="23"/>
  <c r="I38" i="23"/>
  <c r="D38" i="23"/>
  <c r="C38" i="23"/>
  <c r="D37" i="23"/>
  <c r="C37" i="23"/>
  <c r="D36" i="23"/>
  <c r="C36" i="23"/>
  <c r="K35" i="23"/>
  <c r="J35" i="23"/>
  <c r="I35" i="23"/>
  <c r="D35" i="23"/>
  <c r="C35" i="23"/>
  <c r="K34" i="23"/>
  <c r="J34" i="23"/>
  <c r="I34" i="23"/>
  <c r="D34" i="23"/>
  <c r="C34" i="23"/>
  <c r="K33" i="23"/>
  <c r="J33" i="23"/>
  <c r="I33" i="23"/>
  <c r="D33" i="23"/>
  <c r="C33" i="23"/>
  <c r="K32" i="23"/>
  <c r="J32" i="23"/>
  <c r="I32" i="23"/>
  <c r="D32" i="23"/>
  <c r="C32" i="23"/>
  <c r="K31" i="23"/>
  <c r="J31" i="23"/>
  <c r="I31" i="23"/>
  <c r="D31" i="23"/>
  <c r="C31" i="23"/>
  <c r="D30" i="23"/>
  <c r="C30" i="23"/>
  <c r="D29" i="23"/>
  <c r="C29" i="23"/>
  <c r="K28" i="23"/>
  <c r="J28" i="23"/>
  <c r="I28" i="23"/>
  <c r="D28" i="23"/>
  <c r="C28" i="23"/>
  <c r="K27" i="23"/>
  <c r="J27" i="23"/>
  <c r="I27" i="23"/>
  <c r="D27" i="23"/>
  <c r="C27" i="23"/>
  <c r="K26" i="23"/>
  <c r="J26" i="23"/>
  <c r="I26" i="23"/>
  <c r="D26" i="23"/>
  <c r="C26" i="23"/>
  <c r="K25" i="23"/>
  <c r="J25" i="23"/>
  <c r="I25" i="23"/>
  <c r="D25" i="23"/>
  <c r="C25" i="23"/>
  <c r="K24" i="23"/>
  <c r="J24" i="23"/>
  <c r="I24" i="23"/>
  <c r="D24" i="23"/>
  <c r="C24" i="23"/>
  <c r="D23" i="23"/>
  <c r="C23" i="23"/>
  <c r="D22" i="23"/>
  <c r="C22" i="23"/>
  <c r="K21" i="23"/>
  <c r="J21" i="23"/>
  <c r="I21" i="23"/>
  <c r="D21" i="23"/>
  <c r="C21" i="23"/>
  <c r="K20" i="23"/>
  <c r="J20" i="23"/>
  <c r="I20" i="23"/>
  <c r="D20" i="23"/>
  <c r="C20" i="23"/>
  <c r="K19" i="23"/>
  <c r="J19" i="23"/>
  <c r="I19" i="23"/>
  <c r="D19" i="23"/>
  <c r="C19" i="23"/>
  <c r="K18" i="23"/>
  <c r="J18" i="23"/>
  <c r="I18" i="23"/>
  <c r="D18" i="23"/>
  <c r="C18" i="23"/>
  <c r="K17" i="23"/>
  <c r="J17" i="23"/>
  <c r="I17" i="23"/>
  <c r="D17" i="23"/>
  <c r="C17" i="23"/>
  <c r="D16" i="23"/>
  <c r="C16" i="23"/>
  <c r="D15" i="23"/>
  <c r="C15" i="23"/>
  <c r="K14" i="23"/>
  <c r="J14" i="23"/>
  <c r="I14" i="23"/>
  <c r="D14" i="23"/>
  <c r="C13" i="23"/>
  <c r="C54" i="22"/>
  <c r="K44" i="22"/>
  <c r="J44" i="22"/>
  <c r="I44" i="22"/>
  <c r="D44" i="22"/>
  <c r="D13" i="23" s="1"/>
  <c r="C44" i="22"/>
  <c r="K43" i="22"/>
  <c r="J43" i="22"/>
  <c r="I43" i="22"/>
  <c r="D43" i="22"/>
  <c r="C43" i="22"/>
  <c r="K42" i="22"/>
  <c r="J42" i="22"/>
  <c r="I42" i="22"/>
  <c r="D42" i="22"/>
  <c r="C42" i="22"/>
  <c r="K41" i="22"/>
  <c r="J41" i="22"/>
  <c r="I41" i="22"/>
  <c r="D41" i="22"/>
  <c r="C41" i="22"/>
  <c r="D40" i="22"/>
  <c r="C40" i="22"/>
  <c r="D39" i="22"/>
  <c r="C39" i="22"/>
  <c r="K38" i="22"/>
  <c r="J38" i="22"/>
  <c r="I38" i="22"/>
  <c r="D38" i="22"/>
  <c r="C38" i="22"/>
  <c r="K37" i="22"/>
  <c r="J37" i="22"/>
  <c r="I37" i="22"/>
  <c r="D37" i="22"/>
  <c r="C37" i="22"/>
  <c r="K36" i="22"/>
  <c r="J36" i="22"/>
  <c r="I36" i="22"/>
  <c r="D36" i="22"/>
  <c r="C36" i="22"/>
  <c r="K35" i="22"/>
  <c r="J35" i="22"/>
  <c r="I35" i="22"/>
  <c r="D35" i="22"/>
  <c r="C35" i="22"/>
  <c r="K34" i="22"/>
  <c r="J34" i="22"/>
  <c r="I34" i="22"/>
  <c r="D34" i="22"/>
  <c r="C34" i="22"/>
  <c r="D33" i="22"/>
  <c r="C33" i="22"/>
  <c r="D32" i="22"/>
  <c r="C32" i="22"/>
  <c r="K31" i="22"/>
  <c r="J31" i="22"/>
  <c r="I31" i="22"/>
  <c r="D31" i="22"/>
  <c r="C31" i="22"/>
  <c r="K30" i="22"/>
  <c r="J30" i="22"/>
  <c r="I30" i="22"/>
  <c r="D30" i="22"/>
  <c r="C30" i="22"/>
  <c r="K29" i="22"/>
  <c r="J29" i="22"/>
  <c r="I29" i="22"/>
  <c r="D29" i="22"/>
  <c r="C29" i="22"/>
  <c r="K28" i="22"/>
  <c r="J28" i="22"/>
  <c r="I28" i="22"/>
  <c r="D28" i="22"/>
  <c r="C28" i="22"/>
  <c r="K27" i="22"/>
  <c r="J27" i="22"/>
  <c r="I27" i="22"/>
  <c r="D27" i="22"/>
  <c r="C27" i="22"/>
  <c r="D26" i="22"/>
  <c r="C26" i="22"/>
  <c r="D25" i="22"/>
  <c r="C25" i="22"/>
  <c r="K24" i="22"/>
  <c r="J24" i="22"/>
  <c r="I24" i="22"/>
  <c r="D24" i="22"/>
  <c r="C24" i="22"/>
  <c r="K23" i="22"/>
  <c r="J23" i="22"/>
  <c r="I23" i="22"/>
  <c r="D23" i="22"/>
  <c r="C23" i="22"/>
  <c r="K22" i="22"/>
  <c r="J22" i="22"/>
  <c r="I22" i="22"/>
  <c r="D22" i="22"/>
  <c r="C22" i="22"/>
  <c r="K21" i="22"/>
  <c r="J21" i="22"/>
  <c r="I21" i="22"/>
  <c r="D21" i="22"/>
  <c r="C21" i="22"/>
  <c r="K20" i="22"/>
  <c r="J20" i="22"/>
  <c r="I20" i="22"/>
  <c r="D20" i="22"/>
  <c r="C20" i="22"/>
  <c r="D19" i="22"/>
  <c r="C19" i="22"/>
  <c r="D18" i="22"/>
  <c r="C18" i="22"/>
  <c r="K17" i="22"/>
  <c r="J17" i="22"/>
  <c r="I17" i="22"/>
  <c r="D17" i="22"/>
  <c r="C17" i="22"/>
  <c r="K16" i="22"/>
  <c r="J16" i="22"/>
  <c r="I16" i="22"/>
  <c r="D16" i="22"/>
  <c r="C16" i="22"/>
  <c r="K15" i="22"/>
  <c r="J15" i="22"/>
  <c r="I15" i="22"/>
  <c r="D15" i="22"/>
  <c r="C15" i="22"/>
  <c r="K14" i="22"/>
  <c r="J14" i="22"/>
  <c r="I14" i="22"/>
  <c r="D14" i="22"/>
  <c r="C13" i="22"/>
  <c r="C53" i="21"/>
  <c r="K42" i="21"/>
  <c r="J42" i="21"/>
  <c r="I42" i="21"/>
  <c r="D42" i="21"/>
  <c r="D13" i="22" s="1"/>
  <c r="C42" i="21"/>
  <c r="D41" i="21"/>
  <c r="C41" i="21"/>
  <c r="D40" i="21"/>
  <c r="C40" i="21"/>
  <c r="K39" i="21"/>
  <c r="J39" i="21"/>
  <c r="I39" i="21"/>
  <c r="D39" i="21"/>
  <c r="C39" i="21"/>
  <c r="I38" i="21"/>
  <c r="K38" i="21" s="1"/>
  <c r="D38" i="21"/>
  <c r="C38" i="21"/>
  <c r="I37" i="21"/>
  <c r="K37" i="21" s="1"/>
  <c r="D37" i="21"/>
  <c r="C37" i="21"/>
  <c r="I36" i="21"/>
  <c r="J36" i="21" s="1"/>
  <c r="D36" i="21"/>
  <c r="C36" i="21"/>
  <c r="I35" i="21"/>
  <c r="K35" i="21" s="1"/>
  <c r="D35" i="21"/>
  <c r="C35" i="21"/>
  <c r="D34" i="21"/>
  <c r="C34" i="21"/>
  <c r="D33" i="21"/>
  <c r="C33" i="21"/>
  <c r="I32" i="21"/>
  <c r="K32" i="21" s="1"/>
  <c r="D32" i="21"/>
  <c r="C32" i="21"/>
  <c r="K31" i="21"/>
  <c r="J31" i="21"/>
  <c r="I31" i="21"/>
  <c r="D31" i="21"/>
  <c r="C31" i="21"/>
  <c r="K30" i="21"/>
  <c r="I30" i="21"/>
  <c r="J30" i="21" s="1"/>
  <c r="D30" i="21"/>
  <c r="C30" i="21"/>
  <c r="I29" i="21"/>
  <c r="J29" i="21" s="1"/>
  <c r="D29" i="21"/>
  <c r="C29" i="21"/>
  <c r="I28" i="21"/>
  <c r="K28" i="21" s="1"/>
  <c r="D28" i="21"/>
  <c r="C28" i="21"/>
  <c r="D27" i="21"/>
  <c r="C27" i="21"/>
  <c r="D26" i="21"/>
  <c r="C26" i="21"/>
  <c r="I25" i="21"/>
  <c r="K25" i="21" s="1"/>
  <c r="D25" i="21"/>
  <c r="C25" i="21"/>
  <c r="I24" i="21"/>
  <c r="J24" i="21" s="1"/>
  <c r="D24" i="21"/>
  <c r="C24" i="21"/>
  <c r="I23" i="21"/>
  <c r="J23" i="21" s="1"/>
  <c r="D23" i="21"/>
  <c r="C23" i="21"/>
  <c r="I22" i="21"/>
  <c r="J22" i="21" s="1"/>
  <c r="D22" i="21"/>
  <c r="C22" i="21"/>
  <c r="I21" i="21"/>
  <c r="K21" i="21" s="1"/>
  <c r="D21" i="21"/>
  <c r="C21" i="21"/>
  <c r="D20" i="21"/>
  <c r="C20" i="21"/>
  <c r="D19" i="21"/>
  <c r="C19" i="21"/>
  <c r="I18" i="21"/>
  <c r="K18" i="21" s="1"/>
  <c r="D18" i="21"/>
  <c r="C18" i="21"/>
  <c r="I17" i="21"/>
  <c r="K17" i="21" s="1"/>
  <c r="D17" i="21"/>
  <c r="C17" i="21"/>
  <c r="I16" i="21"/>
  <c r="K16" i="21" s="1"/>
  <c r="D16" i="21"/>
  <c r="C16" i="21"/>
  <c r="I15" i="21"/>
  <c r="K15" i="21" s="1"/>
  <c r="D15" i="21"/>
  <c r="C15" i="21"/>
  <c r="I14" i="21"/>
  <c r="K14" i="21" s="1"/>
  <c r="D14" i="21"/>
  <c r="C14" i="21"/>
  <c r="D13" i="21"/>
  <c r="C54" i="20"/>
  <c r="D44" i="20"/>
  <c r="C44" i="20"/>
  <c r="K43" i="20"/>
  <c r="J43" i="20"/>
  <c r="I43" i="20"/>
  <c r="D43" i="20"/>
  <c r="C43" i="20"/>
  <c r="K42" i="20"/>
  <c r="J42" i="20"/>
  <c r="I42" i="20"/>
  <c r="D42" i="20"/>
  <c r="C42" i="20"/>
  <c r="K41" i="20"/>
  <c r="J41" i="20"/>
  <c r="I41" i="20"/>
  <c r="D41" i="20"/>
  <c r="C41" i="20"/>
  <c r="K40" i="20"/>
  <c r="J40" i="20"/>
  <c r="I40" i="20"/>
  <c r="D40" i="20"/>
  <c r="C40" i="20"/>
  <c r="K39" i="20"/>
  <c r="J39" i="20"/>
  <c r="I39" i="20"/>
  <c r="D39" i="20"/>
  <c r="C39" i="20"/>
  <c r="D38" i="20"/>
  <c r="C38" i="20"/>
  <c r="D37" i="20"/>
  <c r="C37" i="20"/>
  <c r="K36" i="20"/>
  <c r="J36" i="20"/>
  <c r="I36" i="20"/>
  <c r="D36" i="20"/>
  <c r="C36" i="20"/>
  <c r="K35" i="20"/>
  <c r="J35" i="20"/>
  <c r="I35" i="20"/>
  <c r="D35" i="20"/>
  <c r="C35" i="20"/>
  <c r="K34" i="20"/>
  <c r="J34" i="20"/>
  <c r="I34" i="20"/>
  <c r="D34" i="20"/>
  <c r="C34" i="20"/>
  <c r="K33" i="20"/>
  <c r="J33" i="20"/>
  <c r="I33" i="20"/>
  <c r="D33" i="20"/>
  <c r="C33" i="20"/>
  <c r="K32" i="20"/>
  <c r="J32" i="20"/>
  <c r="I32" i="20"/>
  <c r="D32" i="20"/>
  <c r="C32" i="20"/>
  <c r="D31" i="20"/>
  <c r="C31" i="20"/>
  <c r="D30" i="20"/>
  <c r="C30" i="20"/>
  <c r="K29" i="20"/>
  <c r="J29" i="20"/>
  <c r="I29" i="20"/>
  <c r="D29" i="20"/>
  <c r="C29" i="20"/>
  <c r="K28" i="20"/>
  <c r="J28" i="20"/>
  <c r="I28" i="20"/>
  <c r="D28" i="20"/>
  <c r="C28" i="20"/>
  <c r="K27" i="20"/>
  <c r="J27" i="20"/>
  <c r="I27" i="20"/>
  <c r="D27" i="20"/>
  <c r="C27" i="20"/>
  <c r="K26" i="20"/>
  <c r="J26" i="20"/>
  <c r="I26" i="20"/>
  <c r="D26" i="20"/>
  <c r="C26" i="20"/>
  <c r="K25" i="20"/>
  <c r="J25" i="20"/>
  <c r="I25" i="20"/>
  <c r="D25" i="20"/>
  <c r="C25" i="20"/>
  <c r="D24" i="20"/>
  <c r="C24" i="20"/>
  <c r="D23" i="20"/>
  <c r="C23" i="20"/>
  <c r="K22" i="20"/>
  <c r="J22" i="20"/>
  <c r="I22" i="20"/>
  <c r="D22" i="20"/>
  <c r="C22" i="20"/>
  <c r="K21" i="20"/>
  <c r="J21" i="20"/>
  <c r="I21" i="20"/>
  <c r="D21" i="20"/>
  <c r="C21" i="20"/>
  <c r="K20" i="20"/>
  <c r="J20" i="20"/>
  <c r="I20" i="20"/>
  <c r="D20" i="20"/>
  <c r="C20" i="20"/>
  <c r="K19" i="20"/>
  <c r="J19" i="20"/>
  <c r="I19" i="20"/>
  <c r="D19" i="20"/>
  <c r="C19" i="20"/>
  <c r="K18" i="20"/>
  <c r="J18" i="20"/>
  <c r="I18" i="20"/>
  <c r="D18" i="20"/>
  <c r="C18" i="20"/>
  <c r="D17" i="20"/>
  <c r="C17" i="20"/>
  <c r="D16" i="20"/>
  <c r="C16" i="20"/>
  <c r="K15" i="20"/>
  <c r="J15" i="20"/>
  <c r="I15" i="20"/>
  <c r="D15" i="20"/>
  <c r="C15" i="20"/>
  <c r="K14" i="20"/>
  <c r="J14" i="20"/>
  <c r="I14" i="20"/>
  <c r="D14" i="20"/>
  <c r="C54" i="19"/>
  <c r="K43" i="19"/>
  <c r="J43" i="19"/>
  <c r="I43" i="19"/>
  <c r="D43" i="19"/>
  <c r="C43" i="19"/>
  <c r="K42" i="19"/>
  <c r="J42" i="19"/>
  <c r="I42" i="19"/>
  <c r="D42" i="19"/>
  <c r="C42" i="19"/>
  <c r="K41" i="19"/>
  <c r="J41" i="19"/>
  <c r="I41" i="19"/>
  <c r="D41" i="19"/>
  <c r="C41" i="19"/>
  <c r="D40" i="19"/>
  <c r="C40" i="19"/>
  <c r="D39" i="19"/>
  <c r="C39" i="19"/>
  <c r="K38" i="19"/>
  <c r="J38" i="19"/>
  <c r="I38" i="19"/>
  <c r="D38" i="19"/>
  <c r="C38" i="19"/>
  <c r="K37" i="19"/>
  <c r="J37" i="19"/>
  <c r="I37" i="19"/>
  <c r="D37" i="19"/>
  <c r="C37" i="19"/>
  <c r="K36" i="19"/>
  <c r="J36" i="19"/>
  <c r="I36" i="19"/>
  <c r="D36" i="19"/>
  <c r="C36" i="19"/>
  <c r="K35" i="19"/>
  <c r="J35" i="19"/>
  <c r="I35" i="19"/>
  <c r="D35" i="19"/>
  <c r="C35" i="19"/>
  <c r="K34" i="19"/>
  <c r="J34" i="19"/>
  <c r="I34" i="19"/>
  <c r="D34" i="19"/>
  <c r="C34" i="19"/>
  <c r="D33" i="19"/>
  <c r="C33" i="19"/>
  <c r="D32" i="19"/>
  <c r="C32" i="19"/>
  <c r="K31" i="19"/>
  <c r="J31" i="19"/>
  <c r="I31" i="19"/>
  <c r="D31" i="19"/>
  <c r="C31" i="19"/>
  <c r="K30" i="19"/>
  <c r="J30" i="19"/>
  <c r="I30" i="19"/>
  <c r="D30" i="19"/>
  <c r="C30" i="19"/>
  <c r="K29" i="19"/>
  <c r="J29" i="19"/>
  <c r="I29" i="19"/>
  <c r="D29" i="19"/>
  <c r="C29" i="19"/>
  <c r="K28" i="19"/>
  <c r="J28" i="19"/>
  <c r="I28" i="19"/>
  <c r="D28" i="19"/>
  <c r="C28" i="19"/>
  <c r="K27" i="19"/>
  <c r="J27" i="19"/>
  <c r="I27" i="19"/>
  <c r="D27" i="19"/>
  <c r="C27" i="19"/>
  <c r="D26" i="19"/>
  <c r="C26" i="19"/>
  <c r="D25" i="19"/>
  <c r="C25" i="19"/>
  <c r="K24" i="19"/>
  <c r="J24" i="19"/>
  <c r="I24" i="19"/>
  <c r="D24" i="19"/>
  <c r="C24" i="19"/>
  <c r="K23" i="19"/>
  <c r="J23" i="19"/>
  <c r="I23" i="19"/>
  <c r="D23" i="19"/>
  <c r="C23" i="19"/>
  <c r="K22" i="19"/>
  <c r="J22" i="19"/>
  <c r="I22" i="19"/>
  <c r="D22" i="19"/>
  <c r="C22" i="19"/>
  <c r="K21" i="19"/>
  <c r="J21" i="19"/>
  <c r="I21" i="19"/>
  <c r="D21" i="19"/>
  <c r="C21" i="19"/>
  <c r="K20" i="19"/>
  <c r="J20" i="19"/>
  <c r="I20" i="19"/>
  <c r="D20" i="19"/>
  <c r="C20" i="19"/>
  <c r="D19" i="19"/>
  <c r="C19" i="19"/>
  <c r="D18" i="19"/>
  <c r="C18" i="19"/>
  <c r="K17" i="19"/>
  <c r="J17" i="19"/>
  <c r="I17" i="19"/>
  <c r="D17" i="19"/>
  <c r="C17" i="19"/>
  <c r="K16" i="19"/>
  <c r="J16" i="19"/>
  <c r="I16" i="19"/>
  <c r="D16" i="19"/>
  <c r="C16" i="19"/>
  <c r="K15" i="19"/>
  <c r="J15" i="19"/>
  <c r="I15" i="19"/>
  <c r="D15" i="19"/>
  <c r="C15" i="19"/>
  <c r="K14" i="19"/>
  <c r="J14" i="19"/>
  <c r="I14" i="19"/>
  <c r="D14" i="19"/>
  <c r="C13" i="19"/>
  <c r="C53" i="18"/>
  <c r="K43" i="18"/>
  <c r="J43" i="18"/>
  <c r="I43" i="18"/>
  <c r="D43" i="18"/>
  <c r="D13" i="19" s="1"/>
  <c r="C43" i="18"/>
  <c r="D42" i="18"/>
  <c r="C42" i="18"/>
  <c r="D41" i="18"/>
  <c r="C41" i="18"/>
  <c r="K40" i="18"/>
  <c r="J40" i="18"/>
  <c r="I40" i="18"/>
  <c r="D40" i="18"/>
  <c r="C40" i="18"/>
  <c r="K39" i="18"/>
  <c r="J39" i="18"/>
  <c r="I39" i="18"/>
  <c r="D39" i="18"/>
  <c r="C39" i="18"/>
  <c r="K38" i="18"/>
  <c r="J38" i="18"/>
  <c r="I38" i="18"/>
  <c r="D38" i="18"/>
  <c r="C38" i="18"/>
  <c r="K37" i="18"/>
  <c r="J37" i="18"/>
  <c r="I37" i="18"/>
  <c r="D37" i="18"/>
  <c r="C37" i="18"/>
  <c r="K36" i="18"/>
  <c r="J36" i="18"/>
  <c r="I36" i="18"/>
  <c r="D36" i="18"/>
  <c r="C36" i="18"/>
  <c r="D35" i="18"/>
  <c r="C35" i="18"/>
  <c r="D34" i="18"/>
  <c r="C34" i="18"/>
  <c r="K33" i="18"/>
  <c r="J33" i="18"/>
  <c r="I33" i="18"/>
  <c r="D33" i="18"/>
  <c r="C33" i="18"/>
  <c r="K32" i="18"/>
  <c r="J32" i="18"/>
  <c r="I32" i="18"/>
  <c r="D32" i="18"/>
  <c r="C32" i="18"/>
  <c r="K31" i="18"/>
  <c r="J31" i="18"/>
  <c r="I31" i="18"/>
  <c r="D31" i="18"/>
  <c r="C31" i="18"/>
  <c r="K30" i="18"/>
  <c r="J30" i="18"/>
  <c r="I30" i="18"/>
  <c r="D30" i="18"/>
  <c r="C30" i="18"/>
  <c r="K29" i="18"/>
  <c r="J29" i="18"/>
  <c r="I29" i="18"/>
  <c r="D29" i="18"/>
  <c r="C29" i="18"/>
  <c r="D28" i="18"/>
  <c r="C28" i="18"/>
  <c r="D27" i="18"/>
  <c r="C27" i="18"/>
  <c r="K26" i="18"/>
  <c r="J26" i="18"/>
  <c r="I26" i="18"/>
  <c r="D26" i="18"/>
  <c r="C26" i="18"/>
  <c r="K25" i="18"/>
  <c r="J25" i="18"/>
  <c r="I25" i="18"/>
  <c r="D25" i="18"/>
  <c r="C25" i="18"/>
  <c r="K24" i="18"/>
  <c r="J24" i="18"/>
  <c r="I24" i="18"/>
  <c r="D24" i="18"/>
  <c r="C24" i="18"/>
  <c r="K23" i="18"/>
  <c r="J23" i="18"/>
  <c r="I23" i="18"/>
  <c r="D23" i="18"/>
  <c r="C23" i="18"/>
  <c r="K22" i="18"/>
  <c r="J22" i="18"/>
  <c r="I22" i="18"/>
  <c r="D22" i="18"/>
  <c r="C22" i="18"/>
  <c r="D21" i="18"/>
  <c r="C21" i="18"/>
  <c r="D20" i="18"/>
  <c r="C20" i="18"/>
  <c r="K19" i="18"/>
  <c r="J19" i="18"/>
  <c r="I19" i="18"/>
  <c r="D19" i="18"/>
  <c r="C19" i="18"/>
  <c r="K18" i="18"/>
  <c r="J18" i="18"/>
  <c r="I18" i="18"/>
  <c r="D18" i="18"/>
  <c r="C18" i="18"/>
  <c r="K17" i="18"/>
  <c r="J17" i="18"/>
  <c r="I17" i="18"/>
  <c r="D17" i="18"/>
  <c r="C17" i="18"/>
  <c r="K16" i="18"/>
  <c r="J16" i="18"/>
  <c r="I16" i="18"/>
  <c r="D16" i="18"/>
  <c r="C16" i="18"/>
  <c r="K15" i="18"/>
  <c r="J15" i="18"/>
  <c r="I15" i="18"/>
  <c r="D15" i="18"/>
  <c r="C15" i="18"/>
  <c r="D14" i="18"/>
  <c r="C14" i="18"/>
  <c r="D13" i="18"/>
  <c r="C53" i="17"/>
  <c r="K40" i="17"/>
  <c r="J40" i="17"/>
  <c r="I40" i="17"/>
  <c r="D40" i="17"/>
  <c r="C40" i="17"/>
  <c r="K39" i="17"/>
  <c r="J39" i="17"/>
  <c r="I39" i="17"/>
  <c r="D39" i="17"/>
  <c r="C39" i="17"/>
  <c r="K38" i="17"/>
  <c r="J38" i="17"/>
  <c r="I38" i="17"/>
  <c r="D38" i="17"/>
  <c r="C38" i="17"/>
  <c r="K37" i="17"/>
  <c r="J37" i="17"/>
  <c r="I37" i="17"/>
  <c r="D37" i="17"/>
  <c r="C37" i="17"/>
  <c r="K36" i="17"/>
  <c r="J36" i="17"/>
  <c r="I36" i="17"/>
  <c r="D36" i="17"/>
  <c r="C36" i="17"/>
  <c r="D35" i="17"/>
  <c r="C35" i="17"/>
  <c r="D34" i="17"/>
  <c r="C34" i="17"/>
  <c r="K33" i="17"/>
  <c r="J33" i="17"/>
  <c r="I33" i="17"/>
  <c r="D33" i="17"/>
  <c r="C33" i="17"/>
  <c r="K32" i="17"/>
  <c r="J32" i="17"/>
  <c r="I32" i="17"/>
  <c r="D32" i="17"/>
  <c r="C32" i="17"/>
  <c r="K31" i="17"/>
  <c r="J31" i="17"/>
  <c r="I31" i="17"/>
  <c r="D31" i="17"/>
  <c r="C31" i="17"/>
  <c r="K30" i="17"/>
  <c r="J30" i="17"/>
  <c r="I30" i="17"/>
  <c r="D30" i="17"/>
  <c r="C30" i="17"/>
  <c r="K29" i="17"/>
  <c r="J29" i="17"/>
  <c r="I29" i="17"/>
  <c r="D29" i="17"/>
  <c r="C29" i="17"/>
  <c r="D28" i="17"/>
  <c r="C28" i="17"/>
  <c r="D27" i="17"/>
  <c r="C27" i="17"/>
  <c r="K26" i="17"/>
  <c r="J26" i="17"/>
  <c r="I26" i="17"/>
  <c r="D26" i="17"/>
  <c r="C26" i="17"/>
  <c r="K25" i="17"/>
  <c r="J25" i="17"/>
  <c r="I25" i="17"/>
  <c r="D25" i="17"/>
  <c r="C25" i="17"/>
  <c r="K24" i="17"/>
  <c r="J24" i="17"/>
  <c r="I24" i="17"/>
  <c r="D24" i="17"/>
  <c r="C24" i="17"/>
  <c r="K23" i="17"/>
  <c r="J23" i="17"/>
  <c r="I23" i="17"/>
  <c r="D23" i="17"/>
  <c r="C23" i="17"/>
  <c r="K22" i="17"/>
  <c r="J22" i="17"/>
  <c r="I22" i="17"/>
  <c r="D22" i="17"/>
  <c r="C22" i="17"/>
  <c r="D21" i="17"/>
  <c r="C21" i="17"/>
  <c r="D20" i="17"/>
  <c r="C20" i="17"/>
  <c r="K19" i="17"/>
  <c r="J19" i="17"/>
  <c r="I19" i="17"/>
  <c r="D19" i="17"/>
  <c r="C19" i="17"/>
  <c r="K18" i="17"/>
  <c r="J18" i="17"/>
  <c r="I18" i="17"/>
  <c r="D18" i="17"/>
  <c r="C18" i="17"/>
  <c r="K17" i="17"/>
  <c r="J17" i="17"/>
  <c r="I17" i="17"/>
  <c r="D17" i="17"/>
  <c r="C17" i="17"/>
  <c r="K16" i="17"/>
  <c r="J16" i="17"/>
  <c r="I16" i="17"/>
  <c r="D16" i="17"/>
  <c r="C16" i="17"/>
  <c r="K15" i="17"/>
  <c r="J15" i="17"/>
  <c r="I15" i="17"/>
  <c r="D15" i="17"/>
  <c r="C15" i="17"/>
  <c r="D14" i="17"/>
  <c r="C14" i="17"/>
  <c r="D13" i="17"/>
  <c r="C52" i="16"/>
  <c r="L44" i="16"/>
  <c r="L45" i="17" s="1"/>
  <c r="L45" i="18" s="1"/>
  <c r="L46" i="19" s="1"/>
  <c r="K41" i="16"/>
  <c r="J41" i="16"/>
  <c r="I41" i="16"/>
  <c r="D41" i="16"/>
  <c r="C41" i="16"/>
  <c r="K40" i="16"/>
  <c r="J40" i="16"/>
  <c r="I40" i="16"/>
  <c r="D40" i="16"/>
  <c r="C40" i="16"/>
  <c r="K39" i="16"/>
  <c r="J39" i="16"/>
  <c r="I39" i="16"/>
  <c r="D39" i="16"/>
  <c r="C39" i="16"/>
  <c r="K38" i="16"/>
  <c r="J38" i="16"/>
  <c r="I38" i="16"/>
  <c r="D38" i="16"/>
  <c r="C38" i="16"/>
  <c r="D37" i="16"/>
  <c r="C37" i="16"/>
  <c r="D36" i="16"/>
  <c r="C36" i="16"/>
  <c r="K35" i="16"/>
  <c r="J35" i="16"/>
  <c r="I35" i="16"/>
  <c r="D35" i="16"/>
  <c r="C35" i="16"/>
  <c r="K34" i="16"/>
  <c r="J34" i="16"/>
  <c r="I34" i="16"/>
  <c r="D34" i="16"/>
  <c r="C34" i="16"/>
  <c r="K33" i="16"/>
  <c r="J33" i="16"/>
  <c r="I33" i="16"/>
  <c r="D33" i="16"/>
  <c r="C33" i="16"/>
  <c r="K32" i="16"/>
  <c r="J32" i="16"/>
  <c r="I32" i="16"/>
  <c r="D32" i="16"/>
  <c r="C32" i="16"/>
  <c r="K31" i="16"/>
  <c r="J31" i="16"/>
  <c r="I31" i="16"/>
  <c r="D31" i="16"/>
  <c r="C31" i="16"/>
  <c r="D30" i="16"/>
  <c r="C30" i="16"/>
  <c r="D29" i="16"/>
  <c r="C29" i="16"/>
  <c r="K28" i="16"/>
  <c r="J28" i="16"/>
  <c r="I28" i="16"/>
  <c r="D28" i="16"/>
  <c r="C28" i="16"/>
  <c r="K27" i="16"/>
  <c r="J27" i="16"/>
  <c r="I27" i="16"/>
  <c r="D27" i="16"/>
  <c r="C27" i="16"/>
  <c r="K26" i="16"/>
  <c r="J26" i="16"/>
  <c r="I26" i="16"/>
  <c r="D26" i="16"/>
  <c r="C26" i="16"/>
  <c r="K25" i="16"/>
  <c r="J25" i="16"/>
  <c r="I25" i="16"/>
  <c r="D25" i="16"/>
  <c r="C25" i="16"/>
  <c r="K24" i="16"/>
  <c r="J24" i="16"/>
  <c r="I24" i="16"/>
  <c r="D24" i="16"/>
  <c r="C24" i="16"/>
  <c r="D23" i="16"/>
  <c r="C23" i="16"/>
  <c r="D22" i="16"/>
  <c r="C22" i="16"/>
  <c r="K21" i="16"/>
  <c r="J21" i="16"/>
  <c r="I21" i="16"/>
  <c r="D21" i="16"/>
  <c r="C21" i="16"/>
  <c r="K20" i="16"/>
  <c r="J20" i="16"/>
  <c r="I20" i="16"/>
  <c r="D20" i="16"/>
  <c r="C20" i="16"/>
  <c r="K19" i="16"/>
  <c r="J19" i="16"/>
  <c r="I19" i="16"/>
  <c r="D19" i="16"/>
  <c r="C19" i="16"/>
  <c r="K18" i="16"/>
  <c r="J18" i="16"/>
  <c r="I18" i="16"/>
  <c r="D18" i="16"/>
  <c r="C18" i="16"/>
  <c r="K17" i="16"/>
  <c r="J17" i="16"/>
  <c r="I17" i="16"/>
  <c r="D17" i="16"/>
  <c r="C17" i="16"/>
  <c r="D16" i="16"/>
  <c r="C16" i="16"/>
  <c r="D15" i="16"/>
  <c r="C15" i="16"/>
  <c r="K14" i="16"/>
  <c r="J14" i="16"/>
  <c r="I14" i="16"/>
  <c r="D14" i="16"/>
  <c r="C14" i="16"/>
  <c r="K13" i="16"/>
  <c r="L13" i="16" s="1"/>
  <c r="L14" i="16" s="1"/>
  <c r="L17" i="16" s="1"/>
  <c r="J13" i="16"/>
  <c r="I13" i="16"/>
  <c r="D13" i="16"/>
  <c r="C13" i="16"/>
  <c r="D12" i="16"/>
  <c r="L17" i="32" l="1"/>
  <c r="L18" i="32"/>
  <c r="L19" i="32" s="1"/>
  <c r="L20" i="32" s="1"/>
  <c r="L21" i="32" s="1"/>
  <c r="L24" i="32" s="1"/>
  <c r="L25" i="32" s="1"/>
  <c r="L26" i="32" s="1"/>
  <c r="L27" i="32" s="1"/>
  <c r="L28" i="32" s="1"/>
  <c r="L31" i="32" s="1"/>
  <c r="L32" i="32" s="1"/>
  <c r="L33" i="32" s="1"/>
  <c r="L34" i="32" s="1"/>
  <c r="L35" i="32" s="1"/>
  <c r="L38" i="32" s="1"/>
  <c r="L39" i="32" s="1"/>
  <c r="L40" i="32" s="1"/>
  <c r="L41" i="32" s="1"/>
  <c r="L42" i="32" s="1"/>
  <c r="L46" i="32" s="1"/>
  <c r="L13" i="33" s="1"/>
  <c r="L14" i="33" s="1"/>
  <c r="L15" i="33" s="1"/>
  <c r="L16" i="33" s="1"/>
  <c r="L17" i="33" s="1"/>
  <c r="L20" i="33" s="1"/>
  <c r="L21" i="33" s="1"/>
  <c r="L22" i="33" s="1"/>
  <c r="L23" i="33" s="1"/>
  <c r="L24" i="33" s="1"/>
  <c r="L27" i="33" s="1"/>
  <c r="L28" i="33" s="1"/>
  <c r="L29" i="33" s="1"/>
  <c r="L30" i="33" s="1"/>
  <c r="L31" i="33" s="1"/>
  <c r="L34" i="33" s="1"/>
  <c r="L35" i="33" s="1"/>
  <c r="L36" i="33" s="1"/>
  <c r="L37" i="33" s="1"/>
  <c r="L38" i="33" s="1"/>
  <c r="L18" i="16"/>
  <c r="L19" i="16" s="1"/>
  <c r="L20" i="16" s="1"/>
  <c r="L21" i="16" s="1"/>
  <c r="L24" i="16" s="1"/>
  <c r="L25" i="16" s="1"/>
  <c r="L26" i="16" s="1"/>
  <c r="L27" i="16" s="1"/>
  <c r="L28" i="16" s="1"/>
  <c r="L31" i="16" s="1"/>
  <c r="L32" i="16" s="1"/>
  <c r="L33" i="16" s="1"/>
  <c r="L34" i="16" s="1"/>
  <c r="L35" i="16" s="1"/>
  <c r="L38" i="16" s="1"/>
  <c r="L39" i="16" s="1"/>
  <c r="L40" i="16" s="1"/>
  <c r="L41" i="16" s="1"/>
  <c r="L15" i="18"/>
  <c r="L16" i="18" s="1"/>
  <c r="L17" i="18" s="1"/>
  <c r="L18" i="18" s="1"/>
  <c r="L19" i="18" s="1"/>
  <c r="L22" i="18" s="1"/>
  <c r="L23" i="18" s="1"/>
  <c r="L24" i="18" s="1"/>
  <c r="L25" i="18" s="1"/>
  <c r="L26" i="18" s="1"/>
  <c r="L29" i="18" s="1"/>
  <c r="L30" i="18" s="1"/>
  <c r="L31" i="18" s="1"/>
  <c r="L32" i="18" s="1"/>
  <c r="L33" i="18" s="1"/>
  <c r="L36" i="18" s="1"/>
  <c r="L37" i="18" s="1"/>
  <c r="L38" i="18" s="1"/>
  <c r="L39" i="18" s="1"/>
  <c r="L40" i="18" s="1"/>
  <c r="L43" i="18" s="1"/>
  <c r="L14" i="19"/>
  <c r="L15" i="19" s="1"/>
  <c r="L16" i="19" s="1"/>
  <c r="L17" i="19" s="1"/>
  <c r="L20" i="19" s="1"/>
  <c r="L21" i="19" s="1"/>
  <c r="L22" i="19" s="1"/>
  <c r="L23" i="19" s="1"/>
  <c r="L24" i="19" s="1"/>
  <c r="L27" i="19" s="1"/>
  <c r="L28" i="19" s="1"/>
  <c r="L29" i="19" s="1"/>
  <c r="L30" i="19" s="1"/>
  <c r="L31" i="19" s="1"/>
  <c r="L34" i="19" s="1"/>
  <c r="L35" i="19" s="1"/>
  <c r="L36" i="19" s="1"/>
  <c r="L37" i="19" s="1"/>
  <c r="L38" i="19" s="1"/>
  <c r="L41" i="19" s="1"/>
  <c r="L42" i="19" s="1"/>
  <c r="L43" i="19" s="1"/>
  <c r="L15" i="17"/>
  <c r="L16" i="17" s="1"/>
  <c r="L17" i="17" s="1"/>
  <c r="L18" i="17" s="1"/>
  <c r="L19" i="17" s="1"/>
  <c r="L22" i="17" s="1"/>
  <c r="L23" i="17" s="1"/>
  <c r="L24" i="17" s="1"/>
  <c r="L25" i="17" s="1"/>
  <c r="L26" i="17" s="1"/>
  <c r="L29" i="17" s="1"/>
  <c r="L30" i="17" s="1"/>
  <c r="L31" i="17" s="1"/>
  <c r="L32" i="17" s="1"/>
  <c r="L33" i="17" s="1"/>
  <c r="L36" i="17" s="1"/>
  <c r="L37" i="17" s="1"/>
  <c r="L38" i="17" s="1"/>
  <c r="L39" i="17" s="1"/>
  <c r="L40" i="17" s="1"/>
  <c r="L14" i="20"/>
  <c r="L15" i="20" s="1"/>
  <c r="L18" i="20" s="1"/>
  <c r="L19" i="20" s="1"/>
  <c r="L20" i="20" s="1"/>
  <c r="L21" i="20" s="1"/>
  <c r="L22" i="20" s="1"/>
  <c r="L25" i="20" s="1"/>
  <c r="L26" i="20" s="1"/>
  <c r="L27" i="20" s="1"/>
  <c r="L28" i="20" s="1"/>
  <c r="L29" i="20" s="1"/>
  <c r="L32" i="20" s="1"/>
  <c r="L33" i="20" s="1"/>
  <c r="L34" i="20" s="1"/>
  <c r="L35" i="20" s="1"/>
  <c r="L36" i="20" s="1"/>
  <c r="L39" i="20" s="1"/>
  <c r="L40" i="20" s="1"/>
  <c r="L41" i="20" s="1"/>
  <c r="L42" i="20" s="1"/>
  <c r="L43" i="20" s="1"/>
  <c r="L46" i="20"/>
  <c r="L14" i="21" s="1"/>
  <c r="L15" i="21" s="1"/>
  <c r="L16" i="21" s="1"/>
  <c r="L17" i="21" s="1"/>
  <c r="L18" i="21" s="1"/>
  <c r="L21" i="21" s="1"/>
  <c r="J16" i="21"/>
  <c r="J18" i="21"/>
  <c r="J15" i="21"/>
  <c r="J14" i="21"/>
  <c r="J17" i="21"/>
  <c r="J38" i="21"/>
  <c r="J37" i="21"/>
  <c r="K36" i="21"/>
  <c r="J35" i="21"/>
  <c r="J32" i="21"/>
  <c r="K29" i="21"/>
  <c r="J28" i="21"/>
  <c r="J25" i="21"/>
  <c r="K24" i="21"/>
  <c r="K23" i="21"/>
  <c r="K22" i="21"/>
  <c r="J21" i="21"/>
  <c r="L41" i="33" l="1"/>
  <c r="L42" i="33"/>
  <c r="L46" i="33" s="1"/>
  <c r="L13" i="34" s="1"/>
  <c r="L14" i="34" s="1"/>
  <c r="L15" i="34" s="1"/>
  <c r="L18" i="34" s="1"/>
  <c r="L19" i="34" s="1"/>
  <c r="L20" i="34" s="1"/>
  <c r="L21" i="34" s="1"/>
  <c r="L22" i="34" s="1"/>
  <c r="L22" i="21"/>
  <c r="L23" i="21" s="1"/>
  <c r="L25" i="34" l="1"/>
  <c r="L26" i="34" s="1"/>
  <c r="L27" i="34" s="1"/>
  <c r="L28" i="34" s="1"/>
  <c r="L29" i="34" s="1"/>
  <c r="L24" i="21"/>
  <c r="L25" i="21" s="1"/>
  <c r="L28" i="21" s="1"/>
  <c r="L29" i="21" s="1"/>
  <c r="L30" i="21" s="1"/>
  <c r="L31" i="21" s="1"/>
  <c r="L32" i="21" s="1"/>
  <c r="L35" i="21" s="1"/>
  <c r="L36" i="21" s="1"/>
  <c r="L37" i="21" s="1"/>
  <c r="L38" i="21" s="1"/>
  <c r="L39" i="21" s="1"/>
  <c r="L42" i="21" s="1"/>
  <c r="L32" i="34" l="1"/>
  <c r="L33" i="34" s="1"/>
  <c r="L34" i="34" s="1"/>
  <c r="L35" i="34" s="1"/>
  <c r="L36" i="34" s="1"/>
  <c r="L45" i="21"/>
  <c r="L14" i="22" s="1"/>
  <c r="L15" i="22" s="1"/>
  <c r="L16" i="22" s="1"/>
  <c r="L17" i="22" s="1"/>
  <c r="L20" i="22" s="1"/>
  <c r="L21" i="22" s="1"/>
  <c r="L22" i="22" s="1"/>
  <c r="L23" i="22" s="1"/>
  <c r="L24" i="22" s="1"/>
  <c r="L27" i="22" s="1"/>
  <c r="L28" i="22" s="1"/>
  <c r="L29" i="22" s="1"/>
  <c r="L30" i="22" s="1"/>
  <c r="L31" i="22" s="1"/>
  <c r="L34" i="22" s="1"/>
  <c r="L35" i="22" s="1"/>
  <c r="L36" i="22" s="1"/>
  <c r="L37" i="22" s="1"/>
  <c r="L38" i="22" s="1"/>
  <c r="L41" i="22" s="1"/>
  <c r="L42" i="22" s="1"/>
  <c r="L43" i="22" s="1"/>
  <c r="L44" i="22" s="1"/>
  <c r="L39" i="34" l="1"/>
  <c r="L40" i="34" s="1"/>
  <c r="L41" i="34" s="1"/>
  <c r="L42" i="34" s="1"/>
  <c r="L46" i="34" s="1"/>
  <c r="L15" i="35" s="1"/>
  <c r="L16" i="35" s="1"/>
  <c r="L17" i="35" s="1"/>
  <c r="L18" i="35" s="1"/>
  <c r="L19" i="35" s="1"/>
  <c r="L46" i="22"/>
  <c r="L46" i="23" s="1"/>
  <c r="L22" i="35" l="1"/>
  <c r="L23" i="35" s="1"/>
  <c r="L24" i="35" s="1"/>
  <c r="L25" i="35" s="1"/>
  <c r="L26" i="35" s="1"/>
  <c r="L14" i="23"/>
  <c r="L17" i="23" s="1"/>
  <c r="L18" i="23" s="1"/>
  <c r="L19" i="23" s="1"/>
  <c r="L20" i="23" s="1"/>
  <c r="L21" i="23" s="1"/>
  <c r="L24" i="23" s="1"/>
  <c r="L25" i="23" s="1"/>
  <c r="L26" i="23" s="1"/>
  <c r="L27" i="23" s="1"/>
  <c r="L28" i="23" s="1"/>
  <c r="L31" i="23" s="1"/>
  <c r="L32" i="23" s="1"/>
  <c r="L33" i="23" s="1"/>
  <c r="L34" i="23" s="1"/>
  <c r="L35" i="23" s="1"/>
  <c r="L38" i="23" s="1"/>
  <c r="L39" i="23" s="1"/>
  <c r="L40" i="23" s="1"/>
  <c r="L41" i="23" s="1"/>
  <c r="L42" i="23" s="1"/>
  <c r="L29" i="35" l="1"/>
  <c r="L30" i="35"/>
  <c r="L31" i="35" s="1"/>
  <c r="L32" i="35" s="1"/>
  <c r="L33" i="35" s="1"/>
  <c r="L36" i="35" l="1"/>
  <c r="L37" i="35"/>
  <c r="L38" i="35" s="1"/>
  <c r="L39" i="35" s="1"/>
  <c r="L40" i="35" s="1"/>
  <c r="L46" i="35" s="1"/>
  <c r="L13" i="36" s="1"/>
  <c r="L14" i="36" s="1"/>
  <c r="L15" i="36" s="1"/>
  <c r="L16" i="36" s="1"/>
  <c r="L19" i="36" l="1"/>
  <c r="L20" i="36" s="1"/>
  <c r="L21" i="36" s="1"/>
  <c r="L22" i="36" s="1"/>
  <c r="L23" i="36" s="1"/>
  <c r="L26" i="36" l="1"/>
  <c r="L27" i="36" s="1"/>
  <c r="L28" i="36" s="1"/>
  <c r="L29" i="36" s="1"/>
  <c r="L30" i="36" s="1"/>
  <c r="L33" i="36" l="1"/>
  <c r="L34" i="36" s="1"/>
  <c r="L35" i="36" s="1"/>
  <c r="L36" i="36" s="1"/>
  <c r="L37" i="36" s="1"/>
  <c r="L40" i="36" s="1"/>
  <c r="L41" i="36" s="1"/>
  <c r="L42" i="36" s="1"/>
  <c r="L46" i="36" s="1"/>
  <c r="L13" i="38" s="1"/>
  <c r="L14" i="38" s="1"/>
  <c r="L17" i="38" s="1"/>
  <c r="L18" i="38" s="1"/>
  <c r="L19" i="38" s="1"/>
  <c r="L20" i="38" s="1"/>
  <c r="L21" i="38" s="1"/>
  <c r="L24" i="38" s="1"/>
  <c r="L25" i="38" s="1"/>
  <c r="L26" i="38" s="1"/>
  <c r="L27" i="38" s="1"/>
  <c r="L28" i="38" s="1"/>
  <c r="L31" i="38" s="1"/>
  <c r="L32" i="38" s="1"/>
  <c r="L33" i="38" s="1"/>
  <c r="L34" i="38" s="1"/>
  <c r="L38" i="38" l="1"/>
  <c r="L35" i="38"/>
  <c r="L39" i="38" l="1"/>
  <c r="L40" i="38" s="1"/>
  <c r="L41" i="38" s="1"/>
  <c r="L42" i="38" s="1"/>
  <c r="L46" i="38" s="1"/>
  <c r="L14" i="40" s="1"/>
  <c r="L15" i="40" s="1"/>
  <c r="L16" i="40" s="1"/>
  <c r="L17" i="40" s="1"/>
  <c r="L18" i="40" s="1"/>
  <c r="L21" i="40" s="1"/>
  <c r="L22" i="40" s="1"/>
  <c r="L23" i="40" s="1"/>
  <c r="L24" i="40" s="1"/>
  <c r="L25" i="40" s="1"/>
  <c r="L28" i="40" s="1"/>
  <c r="L29" i="40" s="1"/>
  <c r="L30" i="40" s="1"/>
  <c r="L31" i="40" s="1"/>
  <c r="L32" i="40" s="1"/>
  <c r="L35" i="40" s="1"/>
  <c r="L36" i="40" s="1"/>
  <c r="L37" i="40" s="1"/>
  <c r="L38" i="40" s="1"/>
  <c r="L39" i="40" s="1"/>
  <c r="L42" i="40" s="1"/>
  <c r="L43" i="40" s="1"/>
  <c r="L46" i="40" s="1"/>
  <c r="L13" i="41" s="1"/>
  <c r="L14" i="41" s="1"/>
  <c r="L15" i="41" s="1"/>
  <c r="L16" i="41" s="1"/>
  <c r="L19" i="41" s="1"/>
  <c r="L20" i="41" s="1"/>
  <c r="L21" i="41" s="1"/>
  <c r="L22" i="41" s="1"/>
  <c r="L23" i="41" s="1"/>
  <c r="L26" i="41" s="1"/>
  <c r="L27" i="41" s="1"/>
  <c r="L28" i="41" s="1"/>
  <c r="L29" i="41" s="1"/>
  <c r="L30" i="41" s="1"/>
  <c r="L33" i="41" s="1"/>
  <c r="L34" i="41" s="1"/>
  <c r="L35" i="41" s="1"/>
  <c r="L36" i="41" s="1"/>
  <c r="L37" i="41" s="1"/>
  <c r="L40" i="41" s="1"/>
  <c r="L41" i="41" s="1"/>
  <c r="L42" i="41" s="1"/>
  <c r="L43" i="41" s="1"/>
  <c r="L46" i="41" s="1"/>
</calcChain>
</file>

<file path=xl/sharedStrings.xml><?xml version="1.0" encoding="utf-8"?>
<sst xmlns="http://schemas.openxmlformats.org/spreadsheetml/2006/main" count="554" uniqueCount="55">
  <si>
    <t>Bluzz Saúde Ltda.</t>
  </si>
  <si>
    <t>CNPJ</t>
  </si>
  <si>
    <t>54.557.861/0001-02</t>
  </si>
  <si>
    <t>Colaborador</t>
  </si>
  <si>
    <t>Mês Competência</t>
  </si>
  <si>
    <t>Saldo final em 31/12/2025</t>
  </si>
  <si>
    <t>em horas</t>
  </si>
  <si>
    <t xml:space="preserve"> CONTROLE DE PONTO</t>
  </si>
  <si>
    <t>Data</t>
  </si>
  <si>
    <t>Dia da semana</t>
  </si>
  <si>
    <t>Entrada</t>
  </si>
  <si>
    <t>Saída Almoço</t>
  </si>
  <si>
    <t>Retorno Almoço</t>
  </si>
  <si>
    <t>Saída</t>
  </si>
  <si>
    <t>Horas Trabalhadas</t>
  </si>
  <si>
    <t>Horas Normais</t>
  </si>
  <si>
    <t>Horas Extras</t>
  </si>
  <si>
    <t>Banco de Horas</t>
  </si>
  <si>
    <t xml:space="preserve">Feriado </t>
  </si>
  <si>
    <t>Saldo Banco de Horas</t>
  </si>
  <si>
    <t>Fev.25</t>
  </si>
  <si>
    <t>CONTROLE DE PONTO</t>
  </si>
  <si>
    <t>Mar.25</t>
  </si>
  <si>
    <t>DEZEMBRO - CONTROLE DE PONTO</t>
  </si>
  <si>
    <t>Abr.25</t>
  </si>
  <si>
    <t>Mai.25</t>
  </si>
  <si>
    <t>Jun.25</t>
  </si>
  <si>
    <t>Jul.25</t>
  </si>
  <si>
    <t>Ago.25</t>
  </si>
  <si>
    <t>Terça-feira</t>
  </si>
  <si>
    <t>Segunda-feira</t>
  </si>
  <si>
    <t>Regime de horas da Planilha</t>
  </si>
  <si>
    <t>---&gt;</t>
  </si>
  <si>
    <t>Se alterar aqui, altera todo o regime de horas da planilhas, altera todas as fórmulas</t>
  </si>
  <si>
    <t>Quarta-feira</t>
  </si>
  <si>
    <t>Sexta-feira</t>
  </si>
  <si>
    <t>Sábado</t>
  </si>
  <si>
    <t>Domingo</t>
  </si>
  <si>
    <t>Quinta-feira</t>
  </si>
  <si>
    <t>//</t>
  </si>
  <si>
    <t>Ago.26</t>
  </si>
  <si>
    <t>AGOSTO - CONTROLE DE PONTO</t>
  </si>
  <si>
    <t>JULHO - CONTROLE DE PONTO</t>
  </si>
  <si>
    <t>Jul.26</t>
  </si>
  <si>
    <t>JUNHO - CONTROLE DE PONTO</t>
  </si>
  <si>
    <t>Jun.26</t>
  </si>
  <si>
    <t>MAIO - CONTROLE DE PONTO</t>
  </si>
  <si>
    <t>Mai.26</t>
  </si>
  <si>
    <t>Dez.26</t>
  </si>
  <si>
    <t>NOVEMBRO - CONTROLE DE PONTO</t>
  </si>
  <si>
    <t>Nov.26</t>
  </si>
  <si>
    <t>OUTUBRO - CONTROLE DE PONTO</t>
  </si>
  <si>
    <t>Out.26</t>
  </si>
  <si>
    <t>SETEMBRO - CONTROLE DE PONTO</t>
  </si>
  <si>
    <t>Set.26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</si>
</sst>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F800]dddd\,\ mmmm\ dd\,\ yyyy"/>
    <numFmt numFmtId="165" formatCode="0.0"/>
  </numFmts>
  <fonts count="14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14996795556505021"/>
      <name val="Aptos Narrow"/>
      <family val="2"/>
      <scheme val="minor"/>
    </font>
    <font>
      <b/>
      <sz val="14"/>
      <color theme="1"/>
      <name val="Segoe UI"/>
      <family val="2"/>
    </font>
    <font>
      <b/>
      <sz val="9.6"/>
      <color theme="0"/>
      <name val="Segoe UI"/>
      <family val="2"/>
    </font>
    <font>
      <sz val="9.6"/>
      <color theme="1"/>
      <name val="Segoe UI"/>
      <family val="2"/>
    </font>
    <font>
      <sz val="9.5"/>
      <color theme="1"/>
      <name val="Segoe UI"/>
      <family val="2"/>
    </font>
    <font>
      <sz val="9.5"/>
      <color theme="3"/>
      <name val="Segoe UI"/>
      <family val="2"/>
    </font>
    <font>
      <b/>
      <sz val="9.5"/>
      <color theme="1"/>
      <name val="Segoe UI"/>
      <family val="2"/>
    </font>
    <font>
      <b/>
      <sz val="7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1" xfId="0" applyBorder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right" vertical="center" wrapText="1"/>
    </xf>
    <xf numFmtId="14" fontId="8" fillId="5" borderId="0" xfId="0" applyNumberFormat="1" applyFont="1" applyFill="1" applyAlignment="1">
      <alignment horizontal="center" vertical="center" wrapText="1"/>
    </xf>
    <xf numFmtId="43" fontId="8" fillId="5" borderId="0" xfId="1" applyFont="1" applyFill="1" applyBorder="1" applyAlignment="1">
      <alignment horizontal="center" vertical="center"/>
    </xf>
    <xf numFmtId="20" fontId="9" fillId="5" borderId="0" xfId="0" applyNumberFormat="1" applyFont="1" applyFill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43" fontId="8" fillId="0" borderId="0" xfId="1" applyFont="1" applyFill="1" applyBorder="1" applyAlignment="1">
      <alignment horizontal="center" vertical="center"/>
    </xf>
    <xf numFmtId="20" fontId="8" fillId="0" borderId="0" xfId="0" applyNumberFormat="1" applyFont="1" applyAlignment="1">
      <alignment horizontal="right" vertical="center" wrapText="1"/>
    </xf>
    <xf numFmtId="20" fontId="9" fillId="0" borderId="0" xfId="0" applyNumberFormat="1" applyFont="1" applyAlignment="1">
      <alignment horizontal="center" vertical="center" wrapText="1"/>
    </xf>
    <xf numFmtId="20" fontId="8" fillId="5" borderId="0" xfId="0" applyNumberFormat="1" applyFont="1" applyFill="1" applyAlignment="1">
      <alignment horizontal="right" vertical="center" wrapText="1"/>
    </xf>
    <xf numFmtId="0" fontId="0" fillId="0" borderId="2" xfId="0" applyBorder="1" applyAlignment="1">
      <alignment vertical="center"/>
    </xf>
    <xf numFmtId="165" fontId="8" fillId="5" borderId="0" xfId="0" applyNumberFormat="1" applyFont="1" applyFill="1" applyAlignment="1">
      <alignment horizontal="center" vertical="center" wrapText="1"/>
    </xf>
    <xf numFmtId="43" fontId="8" fillId="5" borderId="0" xfId="1" applyFont="1" applyFill="1" applyBorder="1" applyAlignment="1">
      <alignment horizontal="center" vertical="center" wrapText="1"/>
    </xf>
    <xf numFmtId="43" fontId="10" fillId="5" borderId="0" xfId="1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165" fontId="8" fillId="6" borderId="0" xfId="0" applyNumberFormat="1" applyFont="1" applyFill="1" applyAlignment="1">
      <alignment horizontal="center" vertical="center" wrapText="1"/>
    </xf>
    <xf numFmtId="43" fontId="8" fillId="6" borderId="0" xfId="1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1" fillId="3" borderId="1" xfId="1" applyFont="1" applyFill="1" applyBorder="1" applyAlignment="1">
      <alignment horizontal="center" vertical="center"/>
    </xf>
    <xf numFmtId="14" fontId="8" fillId="6" borderId="0" xfId="0" applyNumberFormat="1" applyFont="1" applyFill="1" applyAlignment="1">
      <alignment horizontal="center" vertical="center" wrapText="1"/>
    </xf>
    <xf numFmtId="43" fontId="8" fillId="6" borderId="0" xfId="1" applyFont="1" applyFill="1" applyBorder="1" applyAlignment="1">
      <alignment horizontal="center" vertical="center"/>
    </xf>
    <xf numFmtId="20" fontId="8" fillId="6" borderId="0" xfId="0" applyNumberFormat="1" applyFont="1" applyFill="1" applyAlignment="1">
      <alignment horizontal="right" vertical="center" wrapText="1"/>
    </xf>
    <xf numFmtId="43" fontId="10" fillId="6" borderId="0" xfId="1" applyFont="1" applyFill="1" applyBorder="1" applyAlignment="1">
      <alignment horizontal="center" vertical="center" wrapText="1"/>
    </xf>
    <xf numFmtId="20" fontId="9" fillId="6" borderId="0" xfId="0" applyNumberFormat="1" applyFont="1" applyFill="1" applyAlignment="1">
      <alignment horizontal="center" vertical="center" wrapText="1"/>
    </xf>
    <xf numFmtId="43" fontId="8" fillId="0" borderId="0" xfId="1" applyFont="1" applyFill="1" applyBorder="1" applyAlignment="1">
      <alignment horizontal="center" vertical="center" wrapText="1"/>
    </xf>
    <xf numFmtId="43" fontId="8" fillId="5" borderId="4" xfId="1" applyFont="1" applyFill="1" applyBorder="1" applyAlignment="1">
      <alignment horizontal="center" vertical="center" wrapText="1"/>
    </xf>
    <xf numFmtId="20" fontId="8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4" fontId="8" fillId="7" borderId="3" xfId="0" applyNumberFormat="1" applyFont="1" applyFill="1" applyBorder="1" applyAlignment="1">
      <alignment horizontal="center" vertical="center" wrapText="1"/>
    </xf>
    <xf numFmtId="43" fontId="8" fillId="7" borderId="3" xfId="1" applyFont="1" applyFill="1" applyBorder="1" applyAlignment="1">
      <alignment horizontal="center" vertical="center"/>
    </xf>
    <xf numFmtId="20" fontId="8" fillId="7" borderId="3" xfId="0" applyNumberFormat="1" applyFont="1" applyFill="1" applyBorder="1" applyAlignment="1">
      <alignment horizontal="right" vertical="center" wrapText="1"/>
    </xf>
    <xf numFmtId="165" fontId="8" fillId="7" borderId="3" xfId="0" applyNumberFormat="1" applyFont="1" applyFill="1" applyBorder="1" applyAlignment="1">
      <alignment horizontal="center" vertical="center" wrapText="1"/>
    </xf>
    <xf numFmtId="43" fontId="8" fillId="7" borderId="3" xfId="1" applyFont="1" applyFill="1" applyBorder="1" applyAlignment="1">
      <alignment horizontal="center" vertical="center" wrapText="1"/>
    </xf>
    <xf numFmtId="165" fontId="8" fillId="0" borderId="0" xfId="0" applyNumberFormat="1" applyFont="1" applyAlignment="1" applyProtection="1">
      <alignment horizontal="center" vertical="center" wrapText="1"/>
      <protection hidden="1"/>
    </xf>
    <xf numFmtId="43" fontId="8" fillId="0" borderId="0" xfId="1" applyFont="1" applyFill="1" applyBorder="1" applyAlignment="1" applyProtection="1">
      <alignment horizontal="center" vertical="center" wrapText="1"/>
      <protection hidden="1"/>
    </xf>
    <xf numFmtId="43" fontId="10" fillId="0" borderId="0" xfId="1" applyFont="1" applyFill="1" applyBorder="1" applyAlignment="1" applyProtection="1">
      <alignment horizontal="center" vertical="center" wrapText="1"/>
      <protection hidden="1"/>
    </xf>
    <xf numFmtId="165" fontId="8" fillId="5" borderId="0" xfId="0" applyNumberFormat="1" applyFont="1" applyFill="1" applyAlignment="1" applyProtection="1">
      <alignment horizontal="center" vertical="center" wrapText="1"/>
      <protection hidden="1"/>
    </xf>
    <xf numFmtId="43" fontId="8" fillId="5" borderId="0" xfId="1" applyFont="1" applyFill="1" applyBorder="1" applyAlignment="1" applyProtection="1">
      <alignment horizontal="center" vertical="center" wrapText="1"/>
      <protection hidden="1"/>
    </xf>
    <xf numFmtId="43" fontId="10" fillId="5" borderId="0" xfId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hidden="1"/>
    </xf>
    <xf numFmtId="0" fontId="11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43" fontId="11" fillId="3" borderId="1" xfId="1" applyFont="1" applyFill="1" applyBorder="1" applyAlignment="1" applyProtection="1">
      <alignment horizontal="center" vertical="center"/>
      <protection hidden="1"/>
    </xf>
    <xf numFmtId="0" fontId="0" fillId="0" borderId="0" xfId="0" quotePrefix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14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4" fontId="8" fillId="8" borderId="0" xfId="0" applyNumberFormat="1" applyFont="1" applyFill="1" applyAlignment="1">
      <alignment horizontal="center" vertical="center" wrapText="1"/>
    </xf>
    <xf numFmtId="43" fontId="8" fillId="8" borderId="0" xfId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14" fontId="9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20" fontId="8" fillId="8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20" fontId="8" fillId="5" borderId="0" xfId="0" applyNumberFormat="1" applyFont="1" applyFill="1" applyAlignment="1">
      <alignment horizontal="center" vertical="center" wrapText="1"/>
    </xf>
    <xf numFmtId="20" fontId="8" fillId="6" borderId="0" xfId="0" applyNumberFormat="1" applyFont="1" applyFill="1" applyAlignment="1">
      <alignment horizontal="center" vertical="center" wrapText="1"/>
    </xf>
    <xf numFmtId="43" fontId="10" fillId="6" borderId="0" xfId="1" applyFont="1" applyFill="1" applyBorder="1" applyAlignment="1">
      <alignment horizontal="left" vertical="center" wrapText="1" indent="8"/>
    </xf>
    <xf numFmtId="43" fontId="11" fillId="3" borderId="1" xfId="1" applyFont="1" applyFill="1" applyBorder="1" applyAlignment="1">
      <alignment horizontal="left" vertical="center" indent="8"/>
    </xf>
    <xf numFmtId="43" fontId="10" fillId="8" borderId="0" xfId="1" applyFont="1" applyFill="1" applyBorder="1" applyAlignment="1" applyProtection="1">
      <alignment horizontal="center" vertical="center" wrapText="1"/>
    </xf>
    <xf numFmtId="43" fontId="8" fillId="6" borderId="0" xfId="1" applyFont="1" applyFill="1" applyBorder="1" applyAlignment="1" applyProtection="1">
      <alignment horizontal="right" vertical="center" wrapText="1"/>
    </xf>
    <xf numFmtId="43" fontId="10" fillId="0" borderId="0" xfId="1" applyFont="1" applyFill="1" applyBorder="1" applyAlignment="1" applyProtection="1">
      <alignment horizontal="left" vertical="center" wrapText="1" indent="8"/>
    </xf>
    <xf numFmtId="43" fontId="10" fillId="5" borderId="0" xfId="1" applyFont="1" applyFill="1" applyBorder="1" applyAlignment="1" applyProtection="1">
      <alignment horizontal="center" vertical="center" wrapText="1"/>
    </xf>
    <xf numFmtId="43" fontId="10" fillId="6" borderId="0" xfId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/>
    </xf>
    <xf numFmtId="43" fontId="11" fillId="3" borderId="1" xfId="1" applyFont="1" applyFill="1" applyBorder="1" applyAlignment="1" applyProtection="1">
      <alignment horizontal="left" vertical="center" indent="8"/>
    </xf>
    <xf numFmtId="20" fontId="8" fillId="0" borderId="0" xfId="0" applyNumberFormat="1" applyFont="1" applyAlignment="1" applyProtection="1">
      <alignment horizontal="center" vertical="center" wrapText="1"/>
      <protection locked="0"/>
    </xf>
    <xf numFmtId="20" fontId="8" fillId="5" borderId="0" xfId="0" applyNumberFormat="1" applyFont="1" applyFill="1" applyAlignment="1" applyProtection="1">
      <alignment horizontal="center" vertical="center" wrapText="1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20" fontId="8" fillId="6" borderId="0" xfId="0" applyNumberFormat="1" applyFont="1" applyFill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left" vertical="center" wrapText="1"/>
    </xf>
    <xf numFmtId="17" fontId="0" fillId="0" borderId="3" xfId="0" applyNumberFormat="1" applyBorder="1" applyAlignment="1">
      <alignment horizontal="left" vertical="center"/>
    </xf>
    <xf numFmtId="0" fontId="7" fillId="4" borderId="0" xfId="0" applyFont="1" applyFill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/>
    </xf>
    <xf numFmtId="0" fontId="0" fillId="0" borderId="2" xfId="0" applyBorder="1" applyAlignment="1" applyProtection="1">
      <alignment horizontal="left" vertical="center" wrapText="1"/>
      <protection locked="0"/>
    </xf>
    <xf numFmtId="17" fontId="2" fillId="0" borderId="3" xfId="0" applyNumberFormat="1" applyFont="1" applyBorder="1" applyAlignment="1">
      <alignment horizontal="left" vertical="center"/>
    </xf>
    <xf numFmtId="43" fontId="8" fillId="5" borderId="0" xfId="1" applyFont="1" applyFill="1" applyBorder="1" applyAlignment="1" applyProtection="1">
      <alignment horizontal="right" vertical="center" wrapText="1"/>
    </xf>
    <xf numFmtId="43" fontId="10" fillId="5" borderId="0" xfId="1" applyFont="1" applyFill="1" applyBorder="1" applyAlignment="1" applyProtection="1">
      <alignment horizontal="left" vertical="center" wrapText="1" indent="8"/>
    </xf>
    <xf numFmtId="43" fontId="10" fillId="5" borderId="0" xfId="1" applyFont="1" applyFill="1" applyBorder="1" applyAlignment="1">
      <alignment horizontal="left" vertical="center" wrapText="1" indent="8"/>
    </xf>
    <xf numFmtId="0" fontId="0" fillId="5" borderId="0" xfId="0" applyFill="1" applyAlignment="1">
      <alignment horizontal="center" vertical="center"/>
    </xf>
    <xf numFmtId="17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E6F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1500616</xdr:colOff>
      <xdr:row>8</xdr:row>
      <xdr:rowOff>5716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532110" y="257175"/>
          <a:ext cx="1471930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8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686415" y="257175"/>
          <a:ext cx="1472565" cy="11239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8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140950" y="257175"/>
          <a:ext cx="1472565" cy="1123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8</xdr:row>
      <xdr:rowOff>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250805" y="257175"/>
          <a:ext cx="1472565" cy="1123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8</xdr:row>
      <xdr:rowOff>5716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1121390" y="257175"/>
          <a:ext cx="1472565" cy="11296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171451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130155" y="257175"/>
          <a:ext cx="1472565" cy="1120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161926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816590" y="257175"/>
          <a:ext cx="1472565" cy="11106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152401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10261600" y="257175"/>
          <a:ext cx="1472565" cy="11010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53A38D-FB81-4429-A309-16BBDF1A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B004B1-3367-4D59-A1D7-3DDB5FE50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7E157B8-DE0D-4786-B8A1-CE45C0DA0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927795A-82DB-4722-AA13-8F7B89A8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667E6F6-2078-416E-9165-085599CA9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FF415E-2995-4550-AD88-076795D54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583D57B-8D21-4834-9C96-B136D31B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1</xdr:row>
      <xdr:rowOff>123825</xdr:rowOff>
    </xdr:from>
    <xdr:to>
      <xdr:col>11</xdr:col>
      <xdr:colOff>1501178</xdr:colOff>
      <xdr:row>7</xdr:row>
      <xdr:rowOff>114301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50DD02-3C0F-45DD-A77F-09B2C9607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66" t="16977" r="22931" b="23721"/>
        <a:stretch>
          <a:fillRect/>
        </a:stretch>
      </xdr:blipFill>
      <xdr:spPr>
        <a:xfrm>
          <a:off x="8898255" y="253365"/>
          <a:ext cx="1472603" cy="10877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P60"/>
  <sheetViews>
    <sheetView showGridLines="0" topLeftCell="B1" zoomScale="85" zoomScaleNormal="85" workbookViewId="0">
      <selection activeCell="L16" sqref="L16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24.6640625" style="2" customWidth="1"/>
    <col min="4" max="4" width="15.33203125" style="2" customWidth="1"/>
    <col min="5" max="8" width="12" style="2" customWidth="1"/>
    <col min="9" max="9" width="14" style="2" customWidth="1"/>
    <col min="10" max="10" width="16.88671875" style="2" customWidth="1"/>
    <col min="11" max="11" width="11.88671875" style="2" customWidth="1"/>
    <col min="12" max="12" width="31.10937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>
        <v>45658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C8" s="41" t="s">
        <v>5</v>
      </c>
      <c r="D8" s="42"/>
      <c r="E8" s="43" t="s">
        <v>6</v>
      </c>
      <c r="P8" s="6">
        <v>1</v>
      </c>
    </row>
    <row r="9" spans="1:16" x14ac:dyDescent="0.25">
      <c r="A9" s="6">
        <v>1</v>
      </c>
      <c r="C9" s="43"/>
      <c r="P9" s="6">
        <v>1</v>
      </c>
    </row>
    <row r="10" spans="1:16" ht="33.6" customHeight="1" x14ac:dyDescent="0.25">
      <c r="A10" s="6">
        <v>1</v>
      </c>
      <c r="C10" s="91" t="s">
        <v>7</v>
      </c>
      <c r="D10" s="91"/>
      <c r="E10" s="91"/>
      <c r="F10" s="91"/>
      <c r="G10" s="91"/>
      <c r="H10" s="91"/>
      <c r="I10" s="91"/>
      <c r="J10" s="91"/>
      <c r="K10" s="91"/>
      <c r="L10" s="91"/>
      <c r="P10" s="6">
        <v>1</v>
      </c>
    </row>
    <row r="11" spans="1:16" ht="33.6" customHeight="1" x14ac:dyDescent="0.25">
      <c r="A11" s="6">
        <v>1</v>
      </c>
      <c r="C11" s="12" t="s">
        <v>8</v>
      </c>
      <c r="D11" s="12" t="s">
        <v>9</v>
      </c>
      <c r="E11" s="13" t="s">
        <v>10</v>
      </c>
      <c r="F11" s="13" t="s">
        <v>11</v>
      </c>
      <c r="G11" s="13" t="s">
        <v>12</v>
      </c>
      <c r="H11" s="13" t="s">
        <v>13</v>
      </c>
      <c r="I11" s="12" t="s">
        <v>14</v>
      </c>
      <c r="J11" s="12" t="s">
        <v>15</v>
      </c>
      <c r="K11" s="12" t="s">
        <v>16</v>
      </c>
      <c r="L11" s="12" t="s">
        <v>17</v>
      </c>
      <c r="P11" s="6">
        <v>1</v>
      </c>
    </row>
    <row r="12" spans="1:16" x14ac:dyDescent="0.25">
      <c r="A12" s="6">
        <v>1</v>
      </c>
      <c r="C12" s="44">
        <v>45658</v>
      </c>
      <c r="D12" s="45" t="str">
        <f>CHOOSE(WEEKDAY(C12,2),'Não Apagar'!$C$3,'Não Apagar'!$C$4,'Não Apagar'!$C$5,'Não Apagar'!$C$6,'Não Apagar'!$C$7,'Não Apagar'!$C$8,'Não Apagar'!$C$9)</f>
        <v>Quarta-feira</v>
      </c>
      <c r="E12" s="46"/>
      <c r="F12" s="46"/>
      <c r="G12" s="46"/>
      <c r="H12" s="46" t="s">
        <v>18</v>
      </c>
      <c r="I12" s="47"/>
      <c r="J12" s="47"/>
      <c r="K12" s="48"/>
      <c r="L12" s="48"/>
      <c r="P12" s="6">
        <v>1</v>
      </c>
    </row>
    <row r="13" spans="1:16" x14ac:dyDescent="0.25">
      <c r="A13" s="6">
        <v>1</v>
      </c>
      <c r="C13" s="17">
        <f t="shared" ref="C13:C41" si="0">C12+1</f>
        <v>45659</v>
      </c>
      <c r="D13" s="18" t="str">
        <f>CHOOSE(WEEKDAY(C13,2),'Não Apagar'!$C$3,'Não Apagar'!$C$4,'Não Apagar'!$C$5,'Não Apagar'!$C$6,'Não Apagar'!$C$7,'Não Apagar'!$C$8,'Não Apagar'!$C$9)</f>
        <v>Segunda-feira</v>
      </c>
      <c r="E13" s="20"/>
      <c r="F13" s="20"/>
      <c r="G13" s="20"/>
      <c r="H13" s="20"/>
      <c r="I13" s="49">
        <f t="shared" ref="I13:I14" si="1">((H13-E13)-(G13-F13))*24</f>
        <v>0</v>
      </c>
      <c r="J13" s="49">
        <f>MAX(0,MIN(I13,'Não Apagar'!$J$3))</f>
        <v>0</v>
      </c>
      <c r="K13" s="50">
        <f>MAX(0,I13-'Não Apagar'!$J$3)</f>
        <v>0</v>
      </c>
      <c r="L13" s="51">
        <f>L12+K13+D8</f>
        <v>0</v>
      </c>
      <c r="P13" s="6">
        <v>1</v>
      </c>
    </row>
    <row r="14" spans="1:16" x14ac:dyDescent="0.25">
      <c r="A14" s="6">
        <v>1</v>
      </c>
      <c r="C14" s="17">
        <f t="shared" si="0"/>
        <v>45660</v>
      </c>
      <c r="D14" s="18" t="str">
        <f>CHOOSE(WEEKDAY(C14,2),'Não Apagar'!$C$3,'Não Apagar'!$C$4,'Não Apagar'!$C$5,'Não Apagar'!$C$6,'Não Apagar'!$C$7,'Não Apagar'!$C$8,'Não Apagar'!$C$9)</f>
        <v>Sexta-feira</v>
      </c>
      <c r="E14" s="20"/>
      <c r="F14" s="20"/>
      <c r="G14" s="20"/>
      <c r="H14" s="20"/>
      <c r="I14" s="49">
        <f t="shared" si="1"/>
        <v>0</v>
      </c>
      <c r="J14" s="49">
        <f>MAX(0,MIN(I14,'Não Apagar'!$J$3))</f>
        <v>0</v>
      </c>
      <c r="K14" s="50">
        <f>MAX(0,I14-'Não Apagar'!$J$3)</f>
        <v>0</v>
      </c>
      <c r="L14" s="51">
        <f>L13+K14</f>
        <v>0</v>
      </c>
      <c r="P14" s="6">
        <v>1</v>
      </c>
    </row>
    <row r="15" spans="1:16" x14ac:dyDescent="0.25">
      <c r="A15" s="6">
        <v>1</v>
      </c>
      <c r="C15" s="14">
        <f t="shared" si="0"/>
        <v>45661</v>
      </c>
      <c r="D15" s="15" t="str">
        <f>CHOOSE(WEEKDAY(C15,2),'Não Apagar'!$C$3,'Não Apagar'!$C$4,'Não Apagar'!$C$5,'Não Apagar'!$C$6,'Não Apagar'!$C$7,'Não Apagar'!$C$8,'Não Apagar'!$C$9)</f>
        <v>Sábado</v>
      </c>
      <c r="E15" s="16"/>
      <c r="F15" s="16"/>
      <c r="G15" s="16"/>
      <c r="H15" s="16"/>
      <c r="I15" s="52"/>
      <c r="J15" s="52"/>
      <c r="K15" s="53"/>
      <c r="L15" s="54"/>
      <c r="P15" s="6">
        <v>1</v>
      </c>
    </row>
    <row r="16" spans="1:16" x14ac:dyDescent="0.25">
      <c r="A16" s="6">
        <v>1</v>
      </c>
      <c r="C16" s="14">
        <f t="shared" si="0"/>
        <v>45662</v>
      </c>
      <c r="D16" s="15" t="str">
        <f>CHOOSE(WEEKDAY(C16,2),'Não Apagar'!$C$3,'Não Apagar'!$C$4,'Não Apagar'!$C$5,'Não Apagar'!$C$6,'Não Apagar'!$C$7,'Não Apagar'!$C$8,'Não Apagar'!$C$9)</f>
        <v>Domingo</v>
      </c>
      <c r="E16" s="16"/>
      <c r="F16" s="16"/>
      <c r="G16" s="16"/>
      <c r="H16" s="16"/>
      <c r="I16" s="52"/>
      <c r="J16" s="52"/>
      <c r="K16" s="53"/>
      <c r="L16" s="54"/>
      <c r="P16" s="6">
        <v>1</v>
      </c>
    </row>
    <row r="17" spans="1:16" x14ac:dyDescent="0.25">
      <c r="A17" s="6">
        <v>1</v>
      </c>
      <c r="C17" s="17">
        <f t="shared" si="0"/>
        <v>45663</v>
      </c>
      <c r="D17" s="18" t="str">
        <f>CHOOSE(WEEKDAY(C17,2),'Não Apagar'!$C$3,'Não Apagar'!$C$4,'Não Apagar'!$C$5,'Não Apagar'!$C$6,'Não Apagar'!$C$7,'Não Apagar'!$C$8,'Não Apagar'!$C$9)</f>
        <v>Segunda-feira</v>
      </c>
      <c r="E17" s="20"/>
      <c r="F17" s="20"/>
      <c r="G17" s="20"/>
      <c r="H17" s="20"/>
      <c r="I17" s="49">
        <f t="shared" ref="I17" si="2">((H17-E17)-(G17-F17))*24</f>
        <v>0</v>
      </c>
      <c r="J17" s="49">
        <f>MAX(0,MIN(I17,'Não Apagar'!$J$3))</f>
        <v>0</v>
      </c>
      <c r="K17" s="50">
        <f>MAX(0,I17-'Não Apagar'!$J$3)</f>
        <v>0</v>
      </c>
      <c r="L17" s="51">
        <f>L14+K17</f>
        <v>0</v>
      </c>
      <c r="P17" s="6">
        <v>1</v>
      </c>
    </row>
    <row r="18" spans="1:16" x14ac:dyDescent="0.25">
      <c r="A18" s="6">
        <v>1</v>
      </c>
      <c r="C18" s="17">
        <f t="shared" si="0"/>
        <v>45664</v>
      </c>
      <c r="D18" s="18" t="str">
        <f>CHOOSE(WEEKDAY(C18,2),'Não Apagar'!$C$3,'Não Apagar'!$C$4,'Não Apagar'!$C$5,'Não Apagar'!$C$6,'Não Apagar'!$C$7,'Não Apagar'!$C$8,'Não Apagar'!$C$9)</f>
        <v>Terça-feira</v>
      </c>
      <c r="E18" s="40"/>
      <c r="F18" s="40"/>
      <c r="G18" s="40"/>
      <c r="H18" s="40"/>
      <c r="I18" s="49">
        <f t="shared" ref="I18:I21" si="3">((H18-E18)-(G18-F18))*24</f>
        <v>0</v>
      </c>
      <c r="J18" s="49">
        <f>MAX(0,MIN(I18,'Não Apagar'!$J$3))</f>
        <v>0</v>
      </c>
      <c r="K18" s="50">
        <f>MAX(0,I18-'Não Apagar'!$J$3)</f>
        <v>0</v>
      </c>
      <c r="L18" s="51">
        <f t="shared" ref="L18:L21" si="4">L17+K18</f>
        <v>0</v>
      </c>
      <c r="P18" s="6">
        <v>1</v>
      </c>
    </row>
    <row r="19" spans="1:16" x14ac:dyDescent="0.25">
      <c r="A19" s="6">
        <v>1</v>
      </c>
      <c r="C19" s="17">
        <f t="shared" si="0"/>
        <v>45665</v>
      </c>
      <c r="D19" s="18" t="str">
        <f>CHOOSE(WEEKDAY(C19,2),'Não Apagar'!$C$3,'Não Apagar'!$C$4,'Não Apagar'!$C$5,'Não Apagar'!$C$6,'Não Apagar'!$C$7,'Não Apagar'!$C$8,'Não Apagar'!$C$9)</f>
        <v>Quarta-feira</v>
      </c>
      <c r="E19" s="20"/>
      <c r="F19" s="20"/>
      <c r="G19" s="20"/>
      <c r="H19" s="20"/>
      <c r="I19" s="49">
        <f t="shared" si="3"/>
        <v>0</v>
      </c>
      <c r="J19" s="49">
        <f>MAX(0,MIN(I19,'Não Apagar'!$J$3))</f>
        <v>0</v>
      </c>
      <c r="K19" s="50">
        <f>MAX(0,I19-'Não Apagar'!$J$3)</f>
        <v>0</v>
      </c>
      <c r="L19" s="51">
        <f t="shared" si="4"/>
        <v>0</v>
      </c>
      <c r="P19" s="6">
        <v>1</v>
      </c>
    </row>
    <row r="20" spans="1:16" x14ac:dyDescent="0.25">
      <c r="A20" s="6">
        <v>1</v>
      </c>
      <c r="C20" s="17">
        <f t="shared" si="0"/>
        <v>45666</v>
      </c>
      <c r="D20" s="18" t="str">
        <f>CHOOSE(WEEKDAY(C20,2),'Não Apagar'!$C$3,'Não Apagar'!$C$4,'Não Apagar'!$C$5,'Não Apagar'!$C$6,'Não Apagar'!$C$7,'Não Apagar'!$C$8,'Não Apagar'!$C$9)</f>
        <v>Segunda-feira</v>
      </c>
      <c r="E20" s="20"/>
      <c r="F20" s="20"/>
      <c r="G20" s="20"/>
      <c r="H20" s="20"/>
      <c r="I20" s="49">
        <f t="shared" si="3"/>
        <v>0</v>
      </c>
      <c r="J20" s="49">
        <f>MAX(0,MIN(I20,'Não Apagar'!$J$3))</f>
        <v>0</v>
      </c>
      <c r="K20" s="50">
        <f>MAX(0,I20-'Não Apagar'!$J$3)</f>
        <v>0</v>
      </c>
      <c r="L20" s="51">
        <f t="shared" si="4"/>
        <v>0</v>
      </c>
      <c r="P20" s="6">
        <v>1</v>
      </c>
    </row>
    <row r="21" spans="1:16" x14ac:dyDescent="0.25">
      <c r="A21" s="6">
        <v>1</v>
      </c>
      <c r="C21" s="17">
        <f t="shared" si="0"/>
        <v>45667</v>
      </c>
      <c r="D21" s="18" t="str">
        <f>CHOOSE(WEEKDAY(C21,2),'Não Apagar'!$C$3,'Não Apagar'!$C$4,'Não Apagar'!$C$5,'Não Apagar'!$C$6,'Não Apagar'!$C$7,'Não Apagar'!$C$8,'Não Apagar'!$C$9)</f>
        <v>Sexta-feira</v>
      </c>
      <c r="E21" s="20"/>
      <c r="F21" s="20"/>
      <c r="G21" s="20"/>
      <c r="H21" s="20"/>
      <c r="I21" s="49">
        <f t="shared" si="3"/>
        <v>0</v>
      </c>
      <c r="J21" s="49">
        <f>MAX(0,MIN(I21,'Não Apagar'!$J$3))</f>
        <v>0</v>
      </c>
      <c r="K21" s="50">
        <f>MAX(0,I21-'Não Apagar'!$J$3)</f>
        <v>0</v>
      </c>
      <c r="L21" s="51">
        <f t="shared" si="4"/>
        <v>0</v>
      </c>
      <c r="P21" s="6">
        <v>1</v>
      </c>
    </row>
    <row r="22" spans="1:16" x14ac:dyDescent="0.25">
      <c r="A22" s="6">
        <v>1</v>
      </c>
      <c r="C22" s="14">
        <f t="shared" si="0"/>
        <v>45668</v>
      </c>
      <c r="D22" s="15" t="str">
        <f>CHOOSE(WEEKDAY(C22,2),'Não Apagar'!$C$3,'Não Apagar'!$C$4,'Não Apagar'!$C$5,'Não Apagar'!$C$6,'Não Apagar'!$C$7,'Não Apagar'!$C$8,'Não Apagar'!$C$9)</f>
        <v>Sábado</v>
      </c>
      <c r="E22" s="16"/>
      <c r="F22" s="16"/>
      <c r="G22" s="16"/>
      <c r="H22" s="16"/>
      <c r="I22" s="52"/>
      <c r="J22" s="52"/>
      <c r="K22" s="53"/>
      <c r="L22" s="54"/>
      <c r="P22" s="6">
        <v>1</v>
      </c>
    </row>
    <row r="23" spans="1:16" x14ac:dyDescent="0.25">
      <c r="A23" s="6">
        <v>1</v>
      </c>
      <c r="C23" s="14">
        <f t="shared" si="0"/>
        <v>45669</v>
      </c>
      <c r="D23" s="15" t="str">
        <f>CHOOSE(WEEKDAY(C23,2),'Não Apagar'!$C$3,'Não Apagar'!$C$4,'Não Apagar'!$C$5,'Não Apagar'!$C$6,'Não Apagar'!$C$7,'Não Apagar'!$C$8,'Não Apagar'!$C$9)</f>
        <v>Domingo</v>
      </c>
      <c r="E23" s="16"/>
      <c r="F23" s="16"/>
      <c r="G23" s="16"/>
      <c r="H23" s="16"/>
      <c r="I23" s="52"/>
      <c r="J23" s="52"/>
      <c r="K23" s="53"/>
      <c r="L23" s="54"/>
      <c r="P23" s="6">
        <v>1</v>
      </c>
    </row>
    <row r="24" spans="1:16" x14ac:dyDescent="0.25">
      <c r="A24" s="6">
        <v>1</v>
      </c>
      <c r="C24" s="17">
        <f t="shared" si="0"/>
        <v>45670</v>
      </c>
      <c r="D24" s="18" t="str">
        <f>CHOOSE(WEEKDAY(C24,2),'Não Apagar'!$C$3,'Não Apagar'!$C$4,'Não Apagar'!$C$5,'Não Apagar'!$C$6,'Não Apagar'!$C$7,'Não Apagar'!$C$8,'Não Apagar'!$C$9)</f>
        <v>Segunda-feira</v>
      </c>
      <c r="E24" s="20"/>
      <c r="F24" s="20"/>
      <c r="G24" s="20"/>
      <c r="H24" s="20"/>
      <c r="I24" s="49">
        <f t="shared" ref="I24:I41" si="5">((H24-E24)-(G24-F24))*24</f>
        <v>0</v>
      </c>
      <c r="J24" s="49">
        <f>MAX(0,MIN(I24,'Não Apagar'!$J$3))</f>
        <v>0</v>
      </c>
      <c r="K24" s="50">
        <f>MAX(0,I24-'Não Apagar'!$J$3)</f>
        <v>0</v>
      </c>
      <c r="L24" s="51">
        <f>L21+K24</f>
        <v>0</v>
      </c>
      <c r="P24" s="6">
        <v>1</v>
      </c>
    </row>
    <row r="25" spans="1:16" x14ac:dyDescent="0.25">
      <c r="A25" s="6">
        <v>1</v>
      </c>
      <c r="C25" s="17">
        <f t="shared" si="0"/>
        <v>45671</v>
      </c>
      <c r="D25" s="18" t="str">
        <f>CHOOSE(WEEKDAY(C25,2),'Não Apagar'!$C$3,'Não Apagar'!$C$4,'Não Apagar'!$C$5,'Não Apagar'!$C$6,'Não Apagar'!$C$7,'Não Apagar'!$C$8,'Não Apagar'!$C$9)</f>
        <v>Terça-feira</v>
      </c>
      <c r="E25" s="19"/>
      <c r="F25" s="19"/>
      <c r="G25" s="19"/>
      <c r="H25" s="19"/>
      <c r="I25" s="49">
        <f t="shared" si="5"/>
        <v>0</v>
      </c>
      <c r="J25" s="49">
        <f>MAX(0,MIN(I25,'Não Apagar'!$J$3))</f>
        <v>0</v>
      </c>
      <c r="K25" s="50">
        <f>MAX(0,I25-'Não Apagar'!$J$3)</f>
        <v>0</v>
      </c>
      <c r="L25" s="51">
        <f t="shared" ref="L25:L28" si="6">L24+K25</f>
        <v>0</v>
      </c>
      <c r="P25" s="6">
        <v>1</v>
      </c>
    </row>
    <row r="26" spans="1:16" x14ac:dyDescent="0.25">
      <c r="A26" s="6">
        <v>1</v>
      </c>
      <c r="C26" s="17">
        <f t="shared" si="0"/>
        <v>45672</v>
      </c>
      <c r="D26" s="18" t="str">
        <f>CHOOSE(WEEKDAY(C26,2),'Não Apagar'!$C$3,'Não Apagar'!$C$4,'Não Apagar'!$C$5,'Não Apagar'!$C$6,'Não Apagar'!$C$7,'Não Apagar'!$C$8,'Não Apagar'!$C$9)</f>
        <v>Quarta-feira</v>
      </c>
      <c r="E26" s="19"/>
      <c r="F26" s="19"/>
      <c r="G26" s="19"/>
      <c r="H26" s="19"/>
      <c r="I26" s="49">
        <f t="shared" si="5"/>
        <v>0</v>
      </c>
      <c r="J26" s="49">
        <f>MAX(0,MIN(I26,'Não Apagar'!$J$3))</f>
        <v>0</v>
      </c>
      <c r="K26" s="50">
        <f>MAX(0,I26-'Não Apagar'!$J$3)</f>
        <v>0</v>
      </c>
      <c r="L26" s="51">
        <f t="shared" si="6"/>
        <v>0</v>
      </c>
      <c r="P26" s="6">
        <v>1</v>
      </c>
    </row>
    <row r="27" spans="1:16" x14ac:dyDescent="0.25">
      <c r="A27" s="6">
        <v>1</v>
      </c>
      <c r="C27" s="17">
        <f t="shared" si="0"/>
        <v>45673</v>
      </c>
      <c r="D27" s="18" t="str">
        <f>CHOOSE(WEEKDAY(C27,2),'Não Apagar'!$C$3,'Não Apagar'!$C$4,'Não Apagar'!$C$5,'Não Apagar'!$C$6,'Não Apagar'!$C$7,'Não Apagar'!$C$8,'Não Apagar'!$C$9)</f>
        <v>Segunda-feira</v>
      </c>
      <c r="E27" s="20"/>
      <c r="F27" s="20"/>
      <c r="G27" s="20"/>
      <c r="H27" s="20"/>
      <c r="I27" s="49">
        <f t="shared" si="5"/>
        <v>0</v>
      </c>
      <c r="J27" s="49">
        <f>MAX(0,MIN(I27,'Não Apagar'!$J$3))</f>
        <v>0</v>
      </c>
      <c r="K27" s="50">
        <f>MAX(0,I27-'Não Apagar'!$J$3)</f>
        <v>0</v>
      </c>
      <c r="L27" s="51">
        <f t="shared" si="6"/>
        <v>0</v>
      </c>
      <c r="P27" s="6">
        <v>1</v>
      </c>
    </row>
    <row r="28" spans="1:16" x14ac:dyDescent="0.25">
      <c r="A28" s="6">
        <v>1</v>
      </c>
      <c r="C28" s="17">
        <f t="shared" si="0"/>
        <v>45674</v>
      </c>
      <c r="D28" s="18" t="str">
        <f>CHOOSE(WEEKDAY(C28,2),'Não Apagar'!$C$3,'Não Apagar'!$C$4,'Não Apagar'!$C$5,'Não Apagar'!$C$6,'Não Apagar'!$C$7,'Não Apagar'!$C$8,'Não Apagar'!$C$9)</f>
        <v>Sexta-feira</v>
      </c>
      <c r="E28" s="20"/>
      <c r="F28" s="20"/>
      <c r="G28" s="20"/>
      <c r="H28" s="20"/>
      <c r="I28" s="49">
        <f t="shared" si="5"/>
        <v>0</v>
      </c>
      <c r="J28" s="49">
        <f>MAX(0,MIN(I28,'Não Apagar'!$J$3))</f>
        <v>0</v>
      </c>
      <c r="K28" s="50">
        <f>MAX(0,I28-'Não Apagar'!$J$3)</f>
        <v>0</v>
      </c>
      <c r="L28" s="51">
        <f t="shared" si="6"/>
        <v>0</v>
      </c>
      <c r="P28" s="6">
        <v>1</v>
      </c>
    </row>
    <row r="29" spans="1:16" x14ac:dyDescent="0.25">
      <c r="A29" s="6">
        <v>1</v>
      </c>
      <c r="C29" s="14">
        <f t="shared" si="0"/>
        <v>45675</v>
      </c>
      <c r="D29" s="15" t="str">
        <f>CHOOSE(WEEKDAY(C29,2),'Não Apagar'!$C$3,'Não Apagar'!$C$4,'Não Apagar'!$C$5,'Não Apagar'!$C$6,'Não Apagar'!$C$7,'Não Apagar'!$C$8,'Não Apagar'!$C$9)</f>
        <v>Sábado</v>
      </c>
      <c r="E29" s="16"/>
      <c r="F29" s="16"/>
      <c r="G29" s="16"/>
      <c r="H29" s="16"/>
      <c r="I29" s="52"/>
      <c r="J29" s="52"/>
      <c r="K29" s="53"/>
      <c r="L29" s="54"/>
      <c r="P29" s="6">
        <v>1</v>
      </c>
    </row>
    <row r="30" spans="1:16" x14ac:dyDescent="0.25">
      <c r="A30" s="6">
        <v>1</v>
      </c>
      <c r="C30" s="14">
        <f t="shared" si="0"/>
        <v>45676</v>
      </c>
      <c r="D30" s="15" t="str">
        <f>CHOOSE(WEEKDAY(C30,2),'Não Apagar'!$C$3,'Não Apagar'!$C$4,'Não Apagar'!$C$5,'Não Apagar'!$C$6,'Não Apagar'!$C$7,'Não Apagar'!$C$8,'Não Apagar'!$C$9)</f>
        <v>Domingo</v>
      </c>
      <c r="E30" s="16"/>
      <c r="F30" s="16"/>
      <c r="G30" s="16"/>
      <c r="H30" s="16"/>
      <c r="I30" s="52"/>
      <c r="J30" s="52"/>
      <c r="K30" s="53"/>
      <c r="L30" s="54"/>
      <c r="P30" s="6">
        <v>1</v>
      </c>
    </row>
    <row r="31" spans="1:16" x14ac:dyDescent="0.25">
      <c r="A31" s="6">
        <v>1</v>
      </c>
      <c r="C31" s="17">
        <f t="shared" si="0"/>
        <v>45677</v>
      </c>
      <c r="D31" s="18" t="str">
        <f>CHOOSE(WEEKDAY(C31,2),'Não Apagar'!$C$3,'Não Apagar'!$C$4,'Não Apagar'!$C$5,'Não Apagar'!$C$6,'Não Apagar'!$C$7,'Não Apagar'!$C$8,'Não Apagar'!$C$9)</f>
        <v>Segunda-feira</v>
      </c>
      <c r="E31" s="20"/>
      <c r="F31" s="20"/>
      <c r="G31" s="20"/>
      <c r="H31" s="20"/>
      <c r="I31" s="49">
        <f t="shared" si="5"/>
        <v>0</v>
      </c>
      <c r="J31" s="49">
        <f>MAX(0,MIN(I31,'Não Apagar'!$J$3))</f>
        <v>0</v>
      </c>
      <c r="K31" s="50">
        <f>MAX(0,I31-'Não Apagar'!$J$3)</f>
        <v>0</v>
      </c>
      <c r="L31" s="51">
        <f>L28+K31</f>
        <v>0</v>
      </c>
      <c r="P31" s="6">
        <v>1</v>
      </c>
    </row>
    <row r="32" spans="1:16" x14ac:dyDescent="0.25">
      <c r="A32" s="6">
        <v>1</v>
      </c>
      <c r="C32" s="17">
        <f t="shared" si="0"/>
        <v>45678</v>
      </c>
      <c r="D32" s="18" t="str">
        <f>CHOOSE(WEEKDAY(C32,2),'Não Apagar'!$C$3,'Não Apagar'!$C$4,'Não Apagar'!$C$5,'Não Apagar'!$C$6,'Não Apagar'!$C$7,'Não Apagar'!$C$8,'Não Apagar'!$C$9)</f>
        <v>Terça-feira</v>
      </c>
      <c r="E32" s="19"/>
      <c r="F32" s="19"/>
      <c r="G32" s="19"/>
      <c r="H32" s="19"/>
      <c r="I32" s="49">
        <f t="shared" si="5"/>
        <v>0</v>
      </c>
      <c r="J32" s="49">
        <f>MAX(0,MIN(I32,'Não Apagar'!$J$3))</f>
        <v>0</v>
      </c>
      <c r="K32" s="50">
        <f>MAX(0,I32-'Não Apagar'!$J$3)</f>
        <v>0</v>
      </c>
      <c r="L32" s="51">
        <f t="shared" ref="L32:L35" si="7">L31+K32</f>
        <v>0</v>
      </c>
      <c r="P32" s="6">
        <v>1</v>
      </c>
    </row>
    <row r="33" spans="1:16" x14ac:dyDescent="0.25">
      <c r="A33" s="6">
        <v>1</v>
      </c>
      <c r="C33" s="17">
        <f t="shared" si="0"/>
        <v>45679</v>
      </c>
      <c r="D33" s="18" t="str">
        <f>CHOOSE(WEEKDAY(C33,2),'Não Apagar'!$C$3,'Não Apagar'!$C$4,'Não Apagar'!$C$5,'Não Apagar'!$C$6,'Não Apagar'!$C$7,'Não Apagar'!$C$8,'Não Apagar'!$C$9)</f>
        <v>Quarta-feira</v>
      </c>
      <c r="E33" s="19"/>
      <c r="F33" s="19"/>
      <c r="G33" s="19"/>
      <c r="H33" s="19"/>
      <c r="I33" s="49">
        <f t="shared" si="5"/>
        <v>0</v>
      </c>
      <c r="J33" s="49">
        <f>MAX(0,MIN(I33,'Não Apagar'!$J$3))</f>
        <v>0</v>
      </c>
      <c r="K33" s="50">
        <f>MAX(0,I33-'Não Apagar'!$J$3)</f>
        <v>0</v>
      </c>
      <c r="L33" s="51">
        <f t="shared" si="7"/>
        <v>0</v>
      </c>
      <c r="P33" s="6">
        <v>1</v>
      </c>
    </row>
    <row r="34" spans="1:16" x14ac:dyDescent="0.25">
      <c r="A34" s="6">
        <v>1</v>
      </c>
      <c r="C34" s="17">
        <f t="shared" si="0"/>
        <v>45680</v>
      </c>
      <c r="D34" s="18" t="str">
        <f>CHOOSE(WEEKDAY(C34,2),'Não Apagar'!$C$3,'Não Apagar'!$C$4,'Não Apagar'!$C$5,'Não Apagar'!$C$6,'Não Apagar'!$C$7,'Não Apagar'!$C$8,'Não Apagar'!$C$9)</f>
        <v>Segunda-feira</v>
      </c>
      <c r="E34" s="20"/>
      <c r="F34" s="20"/>
      <c r="G34" s="20"/>
      <c r="H34" s="20"/>
      <c r="I34" s="49">
        <f t="shared" si="5"/>
        <v>0</v>
      </c>
      <c r="J34" s="49">
        <f>MAX(0,MIN(I34,'Não Apagar'!$J$3))</f>
        <v>0</v>
      </c>
      <c r="K34" s="50">
        <f>MAX(0,I34-'Não Apagar'!$J$3)</f>
        <v>0</v>
      </c>
      <c r="L34" s="51">
        <f t="shared" si="7"/>
        <v>0</v>
      </c>
      <c r="P34" s="6">
        <v>1</v>
      </c>
    </row>
    <row r="35" spans="1:16" x14ac:dyDescent="0.25">
      <c r="A35" s="6">
        <v>1</v>
      </c>
      <c r="C35" s="17">
        <f t="shared" si="0"/>
        <v>45681</v>
      </c>
      <c r="D35" s="18" t="str">
        <f>CHOOSE(WEEKDAY(C35,2),'Não Apagar'!$C$3,'Não Apagar'!$C$4,'Não Apagar'!$C$5,'Não Apagar'!$C$6,'Não Apagar'!$C$7,'Não Apagar'!$C$8,'Não Apagar'!$C$9)</f>
        <v>Sexta-feira</v>
      </c>
      <c r="E35" s="20"/>
      <c r="F35" s="20"/>
      <c r="G35" s="20"/>
      <c r="H35" s="20"/>
      <c r="I35" s="49">
        <f t="shared" si="5"/>
        <v>0</v>
      </c>
      <c r="J35" s="49">
        <f>MAX(0,MIN(I35,'Não Apagar'!$J$3))</f>
        <v>0</v>
      </c>
      <c r="K35" s="50">
        <f>MAX(0,I35-'Não Apagar'!$J$3)</f>
        <v>0</v>
      </c>
      <c r="L35" s="51">
        <f t="shared" si="7"/>
        <v>0</v>
      </c>
      <c r="P35" s="6">
        <v>1</v>
      </c>
    </row>
    <row r="36" spans="1:16" x14ac:dyDescent="0.25">
      <c r="A36" s="6">
        <v>1</v>
      </c>
      <c r="C36" s="14">
        <f t="shared" si="0"/>
        <v>45682</v>
      </c>
      <c r="D36" s="15" t="str">
        <f>CHOOSE(WEEKDAY(C36,2),'Não Apagar'!$C$3,'Não Apagar'!$C$4,'Não Apagar'!$C$5,'Não Apagar'!$C$6,'Não Apagar'!$C$7,'Não Apagar'!$C$8,'Não Apagar'!$C$9)</f>
        <v>Sábado</v>
      </c>
      <c r="E36" s="16"/>
      <c r="F36" s="16"/>
      <c r="G36" s="16"/>
      <c r="H36" s="16"/>
      <c r="I36" s="52"/>
      <c r="J36" s="52"/>
      <c r="K36" s="53"/>
      <c r="L36" s="54"/>
      <c r="P36" s="6">
        <v>1</v>
      </c>
    </row>
    <row r="37" spans="1:16" x14ac:dyDescent="0.25">
      <c r="A37" s="6">
        <v>1</v>
      </c>
      <c r="C37" s="14">
        <f t="shared" si="0"/>
        <v>45683</v>
      </c>
      <c r="D37" s="15" t="str">
        <f>CHOOSE(WEEKDAY(C37,2),'Não Apagar'!$C$3,'Não Apagar'!$C$4,'Não Apagar'!$C$5,'Não Apagar'!$C$6,'Não Apagar'!$C$7,'Não Apagar'!$C$8,'Não Apagar'!$C$9)</f>
        <v>Domingo</v>
      </c>
      <c r="E37" s="16"/>
      <c r="F37" s="16"/>
      <c r="G37" s="16"/>
      <c r="H37" s="16"/>
      <c r="I37" s="52"/>
      <c r="J37" s="52"/>
      <c r="K37" s="53"/>
      <c r="L37" s="54"/>
      <c r="P37" s="6">
        <v>1</v>
      </c>
    </row>
    <row r="38" spans="1:16" x14ac:dyDescent="0.25">
      <c r="A38" s="6">
        <v>1</v>
      </c>
      <c r="C38" s="17">
        <f t="shared" si="0"/>
        <v>45684</v>
      </c>
      <c r="D38" s="18" t="str">
        <f>CHOOSE(WEEKDAY(C38,2),'Não Apagar'!$C$3,'Não Apagar'!$C$4,'Não Apagar'!$C$5,'Não Apagar'!$C$6,'Não Apagar'!$C$7,'Não Apagar'!$C$8,'Não Apagar'!$C$9)</f>
        <v>Segunda-feira</v>
      </c>
      <c r="E38" s="20"/>
      <c r="F38" s="20"/>
      <c r="G38" s="20"/>
      <c r="H38" s="20"/>
      <c r="I38" s="49">
        <f t="shared" si="5"/>
        <v>0</v>
      </c>
      <c r="J38" s="49">
        <f>MAX(0,MIN(I38,'Não Apagar'!$J$3))</f>
        <v>0</v>
      </c>
      <c r="K38" s="50">
        <f>MAX(0,I38-'Não Apagar'!$J$3)</f>
        <v>0</v>
      </c>
      <c r="L38" s="51">
        <f>IF(H38=0,L35,L35+K38-MAX(0,'Não Apagar'!$J$3-I38))</f>
        <v>0</v>
      </c>
      <c r="P38" s="6">
        <v>1</v>
      </c>
    </row>
    <row r="39" spans="1:16" x14ac:dyDescent="0.25">
      <c r="A39" s="6">
        <v>1</v>
      </c>
      <c r="C39" s="17">
        <f t="shared" si="0"/>
        <v>45685</v>
      </c>
      <c r="D39" s="18" t="str">
        <f>CHOOSE(WEEKDAY(C39,2),'Não Apagar'!$C$3,'Não Apagar'!$C$4,'Não Apagar'!$C$5,'Não Apagar'!$C$6,'Não Apagar'!$C$7,'Não Apagar'!$C$8,'Não Apagar'!$C$9)</f>
        <v>Terça-feira</v>
      </c>
      <c r="E39" s="20"/>
      <c r="F39" s="20"/>
      <c r="G39" s="20"/>
      <c r="H39" s="20"/>
      <c r="I39" s="49">
        <f t="shared" si="5"/>
        <v>0</v>
      </c>
      <c r="J39" s="49">
        <f>MAX(0,MIN(I39,'Não Apagar'!$J$3))</f>
        <v>0</v>
      </c>
      <c r="K39" s="50">
        <f>MAX(0,I39-'Não Apagar'!$J$3)</f>
        <v>0</v>
      </c>
      <c r="L39" s="51">
        <f>IF(H39=0,L38,L38+K39-MAX(0,'Não Apagar'!$J$3-I39))</f>
        <v>0</v>
      </c>
      <c r="P39" s="6">
        <v>1</v>
      </c>
    </row>
    <row r="40" spans="1:16" x14ac:dyDescent="0.25">
      <c r="A40" s="6">
        <v>1</v>
      </c>
      <c r="C40" s="17">
        <f t="shared" si="0"/>
        <v>45686</v>
      </c>
      <c r="D40" s="18" t="str">
        <f>CHOOSE(WEEKDAY(C40,2),'Não Apagar'!$C$3,'Não Apagar'!$C$4,'Não Apagar'!$C$5,'Não Apagar'!$C$6,'Não Apagar'!$C$7,'Não Apagar'!$C$8,'Não Apagar'!$C$9)</f>
        <v>Quarta-feira</v>
      </c>
      <c r="E40" s="19"/>
      <c r="F40" s="19"/>
      <c r="G40" s="19"/>
      <c r="H40" s="19"/>
      <c r="I40" s="49">
        <f t="shared" si="5"/>
        <v>0</v>
      </c>
      <c r="J40" s="49">
        <f>MAX(0,MIN(I40,'Não Apagar'!$J$3))</f>
        <v>0</v>
      </c>
      <c r="K40" s="50">
        <f>MAX(0,I40-'Não Apagar'!$J$3)</f>
        <v>0</v>
      </c>
      <c r="L40" s="51">
        <f>IF(H40=0,L39,L39+K40-MAX(0,'Não Apagar'!$J$3-I40))</f>
        <v>0</v>
      </c>
      <c r="P40" s="6">
        <v>1</v>
      </c>
    </row>
    <row r="41" spans="1:16" x14ac:dyDescent="0.25">
      <c r="A41" s="6">
        <v>1</v>
      </c>
      <c r="C41" s="17">
        <f t="shared" si="0"/>
        <v>45687</v>
      </c>
      <c r="D41" s="18" t="str">
        <f>CHOOSE(WEEKDAY(C41,2),'Não Apagar'!$C$3,'Não Apagar'!$C$4,'Não Apagar'!$C$5,'Não Apagar'!$C$6,'Não Apagar'!$C$7,'Não Apagar'!$C$8,'Não Apagar'!$C$9)</f>
        <v>Segunda-feira</v>
      </c>
      <c r="E41" s="20"/>
      <c r="F41" s="20"/>
      <c r="G41" s="20"/>
      <c r="H41" s="20"/>
      <c r="I41" s="49">
        <f t="shared" si="5"/>
        <v>0</v>
      </c>
      <c r="J41" s="49">
        <f>MAX(0,MIN(I41,'Não Apagar'!$J$3))</f>
        <v>0</v>
      </c>
      <c r="K41" s="50">
        <f>MAX(0,I41-'Não Apagar'!$J$3)</f>
        <v>0</v>
      </c>
      <c r="L41" s="51">
        <f>IF(H41=0,L40,L40+K41-MAX(0,'Não Apagar'!$J$3-I41))</f>
        <v>0</v>
      </c>
      <c r="P41" s="6">
        <v>1</v>
      </c>
    </row>
    <row r="42" spans="1:16" x14ac:dyDescent="0.25">
      <c r="A42" s="6">
        <v>1</v>
      </c>
      <c r="I42" s="55"/>
      <c r="J42" s="55"/>
      <c r="K42" s="50"/>
      <c r="L42" s="51"/>
      <c r="P42" s="6">
        <v>1</v>
      </c>
    </row>
    <row r="43" spans="1:16" x14ac:dyDescent="0.25">
      <c r="A43" s="6">
        <v>1</v>
      </c>
      <c r="I43" s="55"/>
      <c r="J43" s="55"/>
      <c r="K43" s="55"/>
      <c r="L43" s="55"/>
      <c r="P43" s="6">
        <v>1</v>
      </c>
    </row>
    <row r="44" spans="1:16" x14ac:dyDescent="0.25">
      <c r="A44" s="6">
        <v>1</v>
      </c>
      <c r="I44" s="55"/>
      <c r="J44" s="56" t="s">
        <v>19</v>
      </c>
      <c r="K44" s="57"/>
      <c r="L44" s="58">
        <f>IFERROR(INDEX(L12:L42,MATCH(9^9,H12:H41)),D8)</f>
        <v>0</v>
      </c>
      <c r="P44" s="6">
        <v>1</v>
      </c>
    </row>
    <row r="45" spans="1:16" x14ac:dyDescent="0.25">
      <c r="A45" s="6"/>
      <c r="P45" s="6"/>
    </row>
    <row r="46" spans="1:16" x14ac:dyDescent="0.25">
      <c r="A46" s="6"/>
      <c r="P46" s="6"/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>
        <v>1</v>
      </c>
      <c r="C51" s="22"/>
      <c r="D51" s="22"/>
      <c r="E51" s="22"/>
      <c r="F51" s="22"/>
      <c r="G51" s="22"/>
      <c r="H51" s="22"/>
      <c r="I51" s="22"/>
      <c r="P51" s="6">
        <v>1</v>
      </c>
    </row>
    <row r="52" spans="1:16" x14ac:dyDescent="0.25">
      <c r="A52" s="6">
        <v>1</v>
      </c>
      <c r="C52" s="92">
        <f ca="1">TODAY()</f>
        <v>46037</v>
      </c>
      <c r="D52" s="92"/>
      <c r="E52" s="92"/>
      <c r="F52" s="92"/>
      <c r="G52" s="92"/>
      <c r="H52" s="92"/>
      <c r="I52" s="92"/>
      <c r="P52" s="6">
        <v>1</v>
      </c>
    </row>
    <row r="53" spans="1:16" x14ac:dyDescent="0.25">
      <c r="A53" s="6">
        <v>1</v>
      </c>
      <c r="P53" s="6">
        <v>1</v>
      </c>
    </row>
    <row r="54" spans="1:16" x14ac:dyDescent="0.25">
      <c r="A54" s="6">
        <v>1</v>
      </c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B60" s="6">
        <v>1</v>
      </c>
      <c r="C60" s="6">
        <v>1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1</v>
      </c>
    </row>
  </sheetData>
  <mergeCells count="4">
    <mergeCell ref="D5:G5"/>
    <mergeCell ref="D6:G6"/>
    <mergeCell ref="C10:L10"/>
    <mergeCell ref="C52:I52"/>
  </mergeCell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P61"/>
  <sheetViews>
    <sheetView showGridLines="0" topLeftCell="A11" zoomScale="85" zoomScaleNormal="85" workbookViewId="0">
      <selection activeCell="L16" sqref="L16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23.6640625" style="2" customWidth="1"/>
    <col min="11" max="11" width="17.44140625" style="2" customWidth="1"/>
    <col min="12" max="12" width="28.664062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20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v>45689</v>
      </c>
      <c r="D13" s="15" t="str">
        <f>CHOOSE(WEEKDAY(C13,2),'Não Apagar'!$C$3,'Não Apagar'!$C$4,'Não Apagar'!$C$5,'Não Apagar'!$C$6,'Não Apagar'!$C$7,'Não Apagar'!$C$8,'Não Apagar'!$C$9)</f>
        <v>Sábado</v>
      </c>
      <c r="E13" s="16"/>
      <c r="F13" s="16"/>
      <c r="G13" s="16"/>
      <c r="H13" s="16"/>
      <c r="I13" s="23"/>
      <c r="J13" s="23"/>
      <c r="K13" s="24"/>
      <c r="L13" s="25"/>
      <c r="P13" s="6">
        <v>1</v>
      </c>
    </row>
    <row r="14" spans="1:16" x14ac:dyDescent="0.25">
      <c r="A14" s="6">
        <v>1</v>
      </c>
      <c r="C14" s="14">
        <f t="shared" ref="C14:C40" si="0">C13+1</f>
        <v>45690</v>
      </c>
      <c r="D14" s="15" t="str">
        <f>CHOOSE(WEEKDAY(C14,2),'Não Apagar'!$C$3,'Não Apagar'!$C$4,'Não Apagar'!$C$5,'Não Apagar'!$C$6,'Não Apagar'!$C$7,'Não Apagar'!$C$8,'Não Apagar'!$C$9)</f>
        <v>Domingo</v>
      </c>
      <c r="E14" s="16"/>
      <c r="F14" s="16"/>
      <c r="G14" s="16"/>
      <c r="H14" s="16"/>
      <c r="I14" s="23"/>
      <c r="J14" s="23"/>
      <c r="K14" s="24"/>
      <c r="L14" s="25"/>
      <c r="P14" s="6">
        <v>1</v>
      </c>
    </row>
    <row r="15" spans="1:16" x14ac:dyDescent="0.25">
      <c r="A15" s="6">
        <v>1</v>
      </c>
      <c r="C15" s="17">
        <f t="shared" si="0"/>
        <v>45691</v>
      </c>
      <c r="D15" s="18" t="str">
        <f>CHOOSE(WEEKDAY(C15,2),'Não Apagar'!$C$3,'Não Apagar'!$C$4,'Não Apagar'!$C$5,'Não Apagar'!$C$6,'Não Apagar'!$C$7,'Não Apagar'!$C$8,'Não Apagar'!$C$9)</f>
        <v>Segunda-feira</v>
      </c>
      <c r="E15" s="20"/>
      <c r="F15" s="20"/>
      <c r="G15" s="20"/>
      <c r="H15" s="20"/>
      <c r="I15" s="26">
        <f t="shared" ref="I15:I40" si="1">((H15-E15)-(G15-F15))*24</f>
        <v>0</v>
      </c>
      <c r="J15" s="26">
        <f>MAX(0,MIN(I15,'Não Apagar'!$J$3))</f>
        <v>0</v>
      </c>
      <c r="K15" s="38">
        <f>MAX(0,I15-'Não Apagar'!$J$3)</f>
        <v>0</v>
      </c>
      <c r="L15" s="29">
        <f>K15+Jan.25!L44</f>
        <v>0</v>
      </c>
      <c r="P15" s="6">
        <v>1</v>
      </c>
    </row>
    <row r="16" spans="1:16" x14ac:dyDescent="0.25">
      <c r="A16" s="6">
        <v>1</v>
      </c>
      <c r="C16" s="17">
        <f t="shared" si="0"/>
        <v>45692</v>
      </c>
      <c r="D16" s="18" t="str">
        <f>CHOOSE(WEEKDAY(C16,2),'Não Apagar'!$C$3,'Não Apagar'!$C$4,'Não Apagar'!$C$5,'Não Apagar'!$C$6,'Não Apagar'!$C$7,'Não Apagar'!$C$8,'Não Apagar'!$C$9)</f>
        <v>Terça-feira</v>
      </c>
      <c r="E16" s="20"/>
      <c r="F16" s="20"/>
      <c r="G16" s="20"/>
      <c r="H16" s="20"/>
      <c r="I16" s="26">
        <f t="shared" si="1"/>
        <v>0</v>
      </c>
      <c r="J16" s="26">
        <f>MAX(0,MIN(I16,'Não Apagar'!$J$3))</f>
        <v>0</v>
      </c>
      <c r="K16" s="38">
        <f>MAX(0,I16-'Não Apagar'!$J$3)</f>
        <v>0</v>
      </c>
      <c r="L16" s="29">
        <f>L15+K16</f>
        <v>0</v>
      </c>
      <c r="P16" s="6">
        <v>1</v>
      </c>
    </row>
    <row r="17" spans="1:16" x14ac:dyDescent="0.25">
      <c r="A17" s="6">
        <v>1</v>
      </c>
      <c r="C17" s="17">
        <f t="shared" si="0"/>
        <v>45693</v>
      </c>
      <c r="D17" s="18" t="str">
        <f>CHOOSE(WEEKDAY(C17,2),'Não Apagar'!$C$3,'Não Apagar'!$C$4,'Não Apagar'!$C$5,'Não Apagar'!$C$6,'Não Apagar'!$C$7,'Não Apagar'!$C$8,'Não Apagar'!$C$9)</f>
        <v>Quarta-feira</v>
      </c>
      <c r="E17" s="20"/>
      <c r="F17" s="20"/>
      <c r="G17" s="20"/>
      <c r="H17" s="20"/>
      <c r="I17" s="26">
        <f t="shared" si="1"/>
        <v>0</v>
      </c>
      <c r="J17" s="26">
        <f>MAX(0,MIN(I17,'Não Apagar'!$J$3))</f>
        <v>0</v>
      </c>
      <c r="K17" s="38">
        <f>MAX(0,I17-'Não Apagar'!$J$3)</f>
        <v>0</v>
      </c>
      <c r="L17" s="29">
        <f t="shared" ref="L17:L19" si="2">L16+K17</f>
        <v>0</v>
      </c>
      <c r="P17" s="6">
        <v>1</v>
      </c>
    </row>
    <row r="18" spans="1:16" x14ac:dyDescent="0.25">
      <c r="A18" s="6">
        <v>1</v>
      </c>
      <c r="C18" s="17">
        <f t="shared" si="0"/>
        <v>45694</v>
      </c>
      <c r="D18" s="18" t="str">
        <f>CHOOSE(WEEKDAY(C18,2),'Não Apagar'!$C$3,'Não Apagar'!$C$4,'Não Apagar'!$C$5,'Não Apagar'!$C$6,'Não Apagar'!$C$7,'Não Apagar'!$C$8,'Não Apagar'!$C$9)</f>
        <v>Segunda-feira</v>
      </c>
      <c r="E18" s="20"/>
      <c r="F18" s="20"/>
      <c r="G18" s="20"/>
      <c r="H18" s="20"/>
      <c r="I18" s="26">
        <f t="shared" si="1"/>
        <v>0</v>
      </c>
      <c r="J18" s="26">
        <f>MAX(0,MIN(I18,'Não Apagar'!$J$3))</f>
        <v>0</v>
      </c>
      <c r="K18" s="38">
        <f>MAX(0,I18-'Não Apagar'!$J$3)</f>
        <v>0</v>
      </c>
      <c r="L18" s="29">
        <f t="shared" si="2"/>
        <v>0</v>
      </c>
      <c r="P18" s="6">
        <v>1</v>
      </c>
    </row>
    <row r="19" spans="1:16" x14ac:dyDescent="0.25">
      <c r="A19" s="6">
        <v>1</v>
      </c>
      <c r="C19" s="17">
        <f t="shared" si="0"/>
        <v>45695</v>
      </c>
      <c r="D19" s="18" t="str">
        <f>CHOOSE(WEEKDAY(C19,2),'Não Apagar'!$C$3,'Não Apagar'!$C$4,'Não Apagar'!$C$5,'Não Apagar'!$C$6,'Não Apagar'!$C$7,'Não Apagar'!$C$8,'Não Apagar'!$C$9)</f>
        <v>Sexta-feira</v>
      </c>
      <c r="E19" s="40"/>
      <c r="F19" s="40"/>
      <c r="G19" s="40"/>
      <c r="H19" s="40"/>
      <c r="I19" s="26">
        <f t="shared" si="1"/>
        <v>0</v>
      </c>
      <c r="J19" s="26">
        <f>MAX(0,MIN(I19,'Não Apagar'!$J$3))</f>
        <v>0</v>
      </c>
      <c r="K19" s="38">
        <f>MAX(0,I19-'Não Apagar'!$J$3)</f>
        <v>0</v>
      </c>
      <c r="L19" s="29">
        <f t="shared" si="2"/>
        <v>0</v>
      </c>
      <c r="P19" s="6">
        <v>1</v>
      </c>
    </row>
    <row r="20" spans="1:16" x14ac:dyDescent="0.25">
      <c r="A20" s="6">
        <v>1</v>
      </c>
      <c r="C20" s="14">
        <f t="shared" si="0"/>
        <v>45696</v>
      </c>
      <c r="D20" s="15" t="str">
        <f>CHOOSE(WEEKDAY(C20,2),'Não Apagar'!$C$3,'Não Apagar'!$C$4,'Não Apagar'!$C$5,'Não Apagar'!$C$6,'Não Apagar'!$C$7,'Não Apagar'!$C$8,'Não Apagar'!$C$9)</f>
        <v>Sábado</v>
      </c>
      <c r="E20" s="21"/>
      <c r="F20" s="21"/>
      <c r="G20" s="21"/>
      <c r="H20" s="21"/>
      <c r="I20" s="23"/>
      <c r="J20" s="23"/>
      <c r="K20" s="24"/>
      <c r="L20" s="25"/>
      <c r="P20" s="6">
        <v>1</v>
      </c>
    </row>
    <row r="21" spans="1:16" x14ac:dyDescent="0.25">
      <c r="A21" s="6">
        <v>1</v>
      </c>
      <c r="C21" s="14">
        <f t="shared" si="0"/>
        <v>45697</v>
      </c>
      <c r="D21" s="15" t="str">
        <f>CHOOSE(WEEKDAY(C21,2),'Não Apagar'!$C$3,'Não Apagar'!$C$4,'Não Apagar'!$C$5,'Não Apagar'!$C$6,'Não Apagar'!$C$7,'Não Apagar'!$C$8,'Não Apagar'!$C$9)</f>
        <v>Domingo</v>
      </c>
      <c r="E21" s="16"/>
      <c r="F21" s="16"/>
      <c r="G21" s="16"/>
      <c r="H21" s="16"/>
      <c r="I21" s="23"/>
      <c r="J21" s="23"/>
      <c r="K21" s="24"/>
      <c r="L21" s="25"/>
      <c r="P21" s="6">
        <v>1</v>
      </c>
    </row>
    <row r="22" spans="1:16" x14ac:dyDescent="0.25">
      <c r="A22" s="6">
        <v>1</v>
      </c>
      <c r="C22" s="17">
        <f t="shared" si="0"/>
        <v>45698</v>
      </c>
      <c r="D22" s="18" t="str">
        <f>CHOOSE(WEEKDAY(C22,2),'Não Apagar'!$C$3,'Não Apagar'!$C$4,'Não Apagar'!$C$5,'Não Apagar'!$C$6,'Não Apagar'!$C$7,'Não Apagar'!$C$8,'Não Apagar'!$C$9)</f>
        <v>Segunda-feira</v>
      </c>
      <c r="E22" s="20"/>
      <c r="F22" s="20"/>
      <c r="G22" s="20"/>
      <c r="H22" s="20"/>
      <c r="I22" s="26">
        <f t="shared" si="1"/>
        <v>0</v>
      </c>
      <c r="J22" s="26">
        <f>MAX(0,MIN(I22,'Não Apagar'!$J$3))</f>
        <v>0</v>
      </c>
      <c r="K22" s="38">
        <f>MAX(0,I22-'Não Apagar'!$J$3)</f>
        <v>0</v>
      </c>
      <c r="L22" s="29">
        <f>L19+K22</f>
        <v>0</v>
      </c>
      <c r="P22" s="6">
        <v>1</v>
      </c>
    </row>
    <row r="23" spans="1:16" x14ac:dyDescent="0.25">
      <c r="A23" s="6">
        <v>1</v>
      </c>
      <c r="C23" s="17">
        <f t="shared" si="0"/>
        <v>45699</v>
      </c>
      <c r="D23" s="18" t="str">
        <f>CHOOSE(WEEKDAY(C23,2),'Não Apagar'!$C$3,'Não Apagar'!$C$4,'Não Apagar'!$C$5,'Não Apagar'!$C$6,'Não Apagar'!$C$7,'Não Apagar'!$C$8,'Não Apagar'!$C$9)</f>
        <v>Terça-feira</v>
      </c>
      <c r="E23" s="20"/>
      <c r="F23" s="20"/>
      <c r="G23" s="20"/>
      <c r="H23" s="20"/>
      <c r="I23" s="26">
        <f t="shared" si="1"/>
        <v>0</v>
      </c>
      <c r="J23" s="26">
        <f>MAX(0,MIN(I23,'Não Apagar'!$J$3))</f>
        <v>0</v>
      </c>
      <c r="K23" s="38">
        <f>MAX(0,I23-'Não Apagar'!$J$3)</f>
        <v>0</v>
      </c>
      <c r="L23" s="29">
        <f t="shared" ref="L23:L26" si="3">L22+K23</f>
        <v>0</v>
      </c>
      <c r="P23" s="6">
        <v>1</v>
      </c>
    </row>
    <row r="24" spans="1:16" x14ac:dyDescent="0.25">
      <c r="A24" s="6">
        <v>1</v>
      </c>
      <c r="C24" s="17">
        <f t="shared" si="0"/>
        <v>45700</v>
      </c>
      <c r="D24" s="18" t="str">
        <f>CHOOSE(WEEKDAY(C24,2),'Não Apagar'!$C$3,'Não Apagar'!$C$4,'Não Apagar'!$C$5,'Não Apagar'!$C$6,'Não Apagar'!$C$7,'Não Apagar'!$C$8,'Não Apagar'!$C$9)</f>
        <v>Quarta-feira</v>
      </c>
      <c r="E24" s="20"/>
      <c r="F24" s="20"/>
      <c r="G24" s="20"/>
      <c r="H24" s="20"/>
      <c r="I24" s="26">
        <f t="shared" si="1"/>
        <v>0</v>
      </c>
      <c r="J24" s="26">
        <f>MAX(0,MIN(I24,'Não Apagar'!$J$3))</f>
        <v>0</v>
      </c>
      <c r="K24" s="38">
        <f>MAX(0,I24-'Não Apagar'!$J$3)</f>
        <v>0</v>
      </c>
      <c r="L24" s="29">
        <f t="shared" si="3"/>
        <v>0</v>
      </c>
      <c r="P24" s="6">
        <v>1</v>
      </c>
    </row>
    <row r="25" spans="1:16" x14ac:dyDescent="0.25">
      <c r="A25" s="6">
        <v>1</v>
      </c>
      <c r="C25" s="17">
        <f t="shared" si="0"/>
        <v>45701</v>
      </c>
      <c r="D25" s="18" t="str">
        <f>CHOOSE(WEEKDAY(C25,2),'Não Apagar'!$C$3,'Não Apagar'!$C$4,'Não Apagar'!$C$5,'Não Apagar'!$C$6,'Não Apagar'!$C$7,'Não Apagar'!$C$8,'Não Apagar'!$C$9)</f>
        <v>Segunda-feira</v>
      </c>
      <c r="E25" s="20"/>
      <c r="F25" s="20"/>
      <c r="G25" s="20"/>
      <c r="H25" s="20"/>
      <c r="I25" s="26">
        <f t="shared" si="1"/>
        <v>0</v>
      </c>
      <c r="J25" s="26">
        <f>MAX(0,MIN(I25,'Não Apagar'!$J$3))</f>
        <v>0</v>
      </c>
      <c r="K25" s="38">
        <f>MAX(0,I25-'Não Apagar'!$J$3)</f>
        <v>0</v>
      </c>
      <c r="L25" s="29">
        <f t="shared" si="3"/>
        <v>0</v>
      </c>
      <c r="P25" s="6">
        <v>1</v>
      </c>
    </row>
    <row r="26" spans="1:16" x14ac:dyDescent="0.25">
      <c r="A26" s="6">
        <v>1</v>
      </c>
      <c r="C26" s="17">
        <f t="shared" si="0"/>
        <v>45702</v>
      </c>
      <c r="D26" s="18" t="str">
        <f>CHOOSE(WEEKDAY(C26,2),'Não Apagar'!$C$3,'Não Apagar'!$C$4,'Não Apagar'!$C$5,'Não Apagar'!$C$6,'Não Apagar'!$C$7,'Não Apagar'!$C$8,'Não Apagar'!$C$9)</f>
        <v>Sexta-feira</v>
      </c>
      <c r="E26" s="20"/>
      <c r="F26" s="20"/>
      <c r="G26" s="20"/>
      <c r="H26" s="20"/>
      <c r="I26" s="26">
        <f t="shared" si="1"/>
        <v>0</v>
      </c>
      <c r="J26" s="26">
        <f>MAX(0,MIN(I26,'Não Apagar'!$J$3))</f>
        <v>0</v>
      </c>
      <c r="K26" s="38">
        <f>MAX(0,I26-'Não Apagar'!$J$3)</f>
        <v>0</v>
      </c>
      <c r="L26" s="29">
        <f t="shared" si="3"/>
        <v>0</v>
      </c>
      <c r="P26" s="6">
        <v>1</v>
      </c>
    </row>
    <row r="27" spans="1:16" x14ac:dyDescent="0.25">
      <c r="A27" s="6">
        <v>1</v>
      </c>
      <c r="C27" s="14">
        <f t="shared" si="0"/>
        <v>45703</v>
      </c>
      <c r="D27" s="15" t="str">
        <f>CHOOSE(WEEKDAY(C27,2),'Não Apagar'!$C$3,'Não Apagar'!$C$4,'Não Apagar'!$C$5,'Não Apagar'!$C$6,'Não Apagar'!$C$7,'Não Apagar'!$C$8,'Não Apagar'!$C$9)</f>
        <v>Sábado</v>
      </c>
      <c r="E27" s="21"/>
      <c r="F27" s="21"/>
      <c r="G27" s="21"/>
      <c r="H27" s="21"/>
      <c r="I27" s="23"/>
      <c r="J27" s="23"/>
      <c r="K27" s="24"/>
      <c r="L27" s="25"/>
      <c r="P27" s="6">
        <v>1</v>
      </c>
    </row>
    <row r="28" spans="1:16" x14ac:dyDescent="0.25">
      <c r="A28" s="6">
        <v>1</v>
      </c>
      <c r="C28" s="14">
        <f t="shared" si="0"/>
        <v>45704</v>
      </c>
      <c r="D28" s="15" t="str">
        <f>CHOOSE(WEEKDAY(C28,2),'Não Apagar'!$C$3,'Não Apagar'!$C$4,'Não Apagar'!$C$5,'Não Apagar'!$C$6,'Não Apagar'!$C$7,'Não Apagar'!$C$8,'Não Apagar'!$C$9)</f>
        <v>Domingo</v>
      </c>
      <c r="E28" s="16"/>
      <c r="F28" s="16"/>
      <c r="G28" s="16"/>
      <c r="H28" s="16"/>
      <c r="I28" s="23"/>
      <c r="J28" s="23"/>
      <c r="K28" s="24"/>
      <c r="L28" s="25"/>
      <c r="P28" s="6">
        <v>1</v>
      </c>
    </row>
    <row r="29" spans="1:16" x14ac:dyDescent="0.25">
      <c r="A29" s="6">
        <v>1</v>
      </c>
      <c r="C29" s="17">
        <f t="shared" si="0"/>
        <v>45705</v>
      </c>
      <c r="D29" s="18" t="str">
        <f>CHOOSE(WEEKDAY(C29,2),'Não Apagar'!$C$3,'Não Apagar'!$C$4,'Não Apagar'!$C$5,'Não Apagar'!$C$6,'Não Apagar'!$C$7,'Não Apagar'!$C$8,'Não Apagar'!$C$9)</f>
        <v>Segunda-feira</v>
      </c>
      <c r="E29" s="20"/>
      <c r="F29" s="20"/>
      <c r="G29" s="20"/>
      <c r="H29" s="20"/>
      <c r="I29" s="26">
        <f t="shared" si="1"/>
        <v>0</v>
      </c>
      <c r="J29" s="26">
        <f>MAX(0,MIN(I29,'Não Apagar'!$J$3))</f>
        <v>0</v>
      </c>
      <c r="K29" s="38">
        <f>MAX(0,I29-'Não Apagar'!$J$3)</f>
        <v>0</v>
      </c>
      <c r="L29" s="29">
        <f>L26+K29</f>
        <v>0</v>
      </c>
      <c r="P29" s="6">
        <v>1</v>
      </c>
    </row>
    <row r="30" spans="1:16" x14ac:dyDescent="0.25">
      <c r="A30" s="6">
        <v>1</v>
      </c>
      <c r="C30" s="17">
        <f t="shared" si="0"/>
        <v>45706</v>
      </c>
      <c r="D30" s="18" t="str">
        <f>CHOOSE(WEEKDAY(C30,2),'Não Apagar'!$C$3,'Não Apagar'!$C$4,'Não Apagar'!$C$5,'Não Apagar'!$C$6,'Não Apagar'!$C$7,'Não Apagar'!$C$8,'Não Apagar'!$C$9)</f>
        <v>Terça-feira</v>
      </c>
      <c r="E30" s="20"/>
      <c r="F30" s="20"/>
      <c r="G30" s="20"/>
      <c r="H30" s="20"/>
      <c r="I30" s="26">
        <f t="shared" si="1"/>
        <v>0</v>
      </c>
      <c r="J30" s="26">
        <f>MAX(0,MIN(I30,'Não Apagar'!$J$3))</f>
        <v>0</v>
      </c>
      <c r="K30" s="38">
        <f>MAX(0,I30-'Não Apagar'!$J$3)</f>
        <v>0</v>
      </c>
      <c r="L30" s="29">
        <f t="shared" ref="L30:L33" si="4">L29+K30</f>
        <v>0</v>
      </c>
      <c r="P30" s="6">
        <v>1</v>
      </c>
    </row>
    <row r="31" spans="1:16" x14ac:dyDescent="0.25">
      <c r="A31" s="6">
        <v>1</v>
      </c>
      <c r="C31" s="17">
        <f t="shared" si="0"/>
        <v>45707</v>
      </c>
      <c r="D31" s="18" t="str">
        <f>CHOOSE(WEEKDAY(C31,2),'Não Apagar'!$C$3,'Não Apagar'!$C$4,'Não Apagar'!$C$5,'Não Apagar'!$C$6,'Não Apagar'!$C$7,'Não Apagar'!$C$8,'Não Apagar'!$C$9)</f>
        <v>Quarta-feira</v>
      </c>
      <c r="E31" s="20"/>
      <c r="F31" s="20"/>
      <c r="G31" s="20"/>
      <c r="H31" s="20"/>
      <c r="I31" s="26">
        <f t="shared" si="1"/>
        <v>0</v>
      </c>
      <c r="J31" s="26">
        <f>MAX(0,MIN(I31,'Não Apagar'!$J$3))</f>
        <v>0</v>
      </c>
      <c r="K31" s="38">
        <f>MAX(0,I31-'Não Apagar'!$J$3)</f>
        <v>0</v>
      </c>
      <c r="L31" s="29">
        <f t="shared" si="4"/>
        <v>0</v>
      </c>
      <c r="P31" s="6">
        <v>1</v>
      </c>
    </row>
    <row r="32" spans="1:16" x14ac:dyDescent="0.25">
      <c r="A32" s="6">
        <v>1</v>
      </c>
      <c r="C32" s="17">
        <f t="shared" si="0"/>
        <v>45708</v>
      </c>
      <c r="D32" s="18" t="str">
        <f>CHOOSE(WEEKDAY(C32,2),'Não Apagar'!$C$3,'Não Apagar'!$C$4,'Não Apagar'!$C$5,'Não Apagar'!$C$6,'Não Apagar'!$C$7,'Não Apagar'!$C$8,'Não Apagar'!$C$9)</f>
        <v>Segunda-feira</v>
      </c>
      <c r="E32" s="20"/>
      <c r="F32" s="20"/>
      <c r="G32" s="20"/>
      <c r="H32" s="20"/>
      <c r="I32" s="26">
        <f t="shared" si="1"/>
        <v>0</v>
      </c>
      <c r="J32" s="26">
        <f>MAX(0,MIN(I32,'Não Apagar'!$J$3))</f>
        <v>0</v>
      </c>
      <c r="K32" s="38">
        <f>MAX(0,I32-'Não Apagar'!$J$3)</f>
        <v>0</v>
      </c>
      <c r="L32" s="29">
        <f t="shared" si="4"/>
        <v>0</v>
      </c>
      <c r="P32" s="6">
        <v>1</v>
      </c>
    </row>
    <row r="33" spans="1:16" x14ac:dyDescent="0.25">
      <c r="A33" s="6">
        <v>1</v>
      </c>
      <c r="C33" s="17">
        <f t="shared" si="0"/>
        <v>45709</v>
      </c>
      <c r="D33" s="18" t="str">
        <f>CHOOSE(WEEKDAY(C33,2),'Não Apagar'!$C$3,'Não Apagar'!$C$4,'Não Apagar'!$C$5,'Não Apagar'!$C$6,'Não Apagar'!$C$7,'Não Apagar'!$C$8,'Não Apagar'!$C$9)</f>
        <v>Sexta-feira</v>
      </c>
      <c r="E33" s="19"/>
      <c r="F33" s="19"/>
      <c r="G33" s="19"/>
      <c r="H33" s="19"/>
      <c r="I33" s="26">
        <f t="shared" si="1"/>
        <v>0</v>
      </c>
      <c r="J33" s="26">
        <f>MAX(0,MIN(I33,'Não Apagar'!$J$3))</f>
        <v>0</v>
      </c>
      <c r="K33" s="38">
        <f>MAX(0,I33-'Não Apagar'!$J$3)</f>
        <v>0</v>
      </c>
      <c r="L33" s="29">
        <f t="shared" si="4"/>
        <v>0</v>
      </c>
      <c r="P33" s="6">
        <v>1</v>
      </c>
    </row>
    <row r="34" spans="1:16" x14ac:dyDescent="0.25">
      <c r="A34" s="6">
        <v>1</v>
      </c>
      <c r="C34" s="14">
        <f t="shared" si="0"/>
        <v>45710</v>
      </c>
      <c r="D34" s="15" t="str">
        <f>CHOOSE(WEEKDAY(C34,2),'Não Apagar'!$C$3,'Não Apagar'!$C$4,'Não Apagar'!$C$5,'Não Apagar'!$C$6,'Não Apagar'!$C$7,'Não Apagar'!$C$8,'Não Apagar'!$C$9)</f>
        <v>Sábado</v>
      </c>
      <c r="E34" s="21"/>
      <c r="F34" s="21"/>
      <c r="G34" s="21"/>
      <c r="H34" s="21"/>
      <c r="I34" s="23"/>
      <c r="J34" s="23"/>
      <c r="K34" s="24"/>
      <c r="L34" s="25"/>
      <c r="P34" s="6">
        <v>1</v>
      </c>
    </row>
    <row r="35" spans="1:16" x14ac:dyDescent="0.25">
      <c r="A35" s="6">
        <v>1</v>
      </c>
      <c r="C35" s="14">
        <f t="shared" si="0"/>
        <v>45711</v>
      </c>
      <c r="D35" s="15" t="str">
        <f>CHOOSE(WEEKDAY(C35,2),'Não Apagar'!$C$3,'Não Apagar'!$C$4,'Não Apagar'!$C$5,'Não Apagar'!$C$6,'Não Apagar'!$C$7,'Não Apagar'!$C$8,'Não Apagar'!$C$9)</f>
        <v>Domingo</v>
      </c>
      <c r="E35" s="16"/>
      <c r="F35" s="16"/>
      <c r="G35" s="16"/>
      <c r="H35" s="16"/>
      <c r="I35" s="23"/>
      <c r="J35" s="23"/>
      <c r="K35" s="24"/>
      <c r="L35" s="25"/>
      <c r="P35" s="6">
        <v>1</v>
      </c>
    </row>
    <row r="36" spans="1:16" x14ac:dyDescent="0.25">
      <c r="A36" s="6">
        <v>1</v>
      </c>
      <c r="C36" s="17">
        <f t="shared" si="0"/>
        <v>45712</v>
      </c>
      <c r="D36" s="18" t="str">
        <f>CHOOSE(WEEKDAY(C36,2),'Não Apagar'!$C$3,'Não Apagar'!$C$4,'Não Apagar'!$C$5,'Não Apagar'!$C$6,'Não Apagar'!$C$7,'Não Apagar'!$C$8,'Não Apagar'!$C$9)</f>
        <v>Segunda-feira</v>
      </c>
      <c r="E36" s="20"/>
      <c r="F36" s="20"/>
      <c r="G36" s="20"/>
      <c r="H36" s="20"/>
      <c r="I36" s="26">
        <f t="shared" si="1"/>
        <v>0</v>
      </c>
      <c r="J36" s="26">
        <f>MAX(0,MIN(I36,'Não Apagar'!$J$3))</f>
        <v>0</v>
      </c>
      <c r="K36" s="38">
        <f>MAX(0,I36-'Não Apagar'!$J$3)</f>
        <v>0</v>
      </c>
      <c r="L36" s="29">
        <f>L33+K36</f>
        <v>0</v>
      </c>
      <c r="P36" s="6">
        <v>1</v>
      </c>
    </row>
    <row r="37" spans="1:16" x14ac:dyDescent="0.25">
      <c r="A37" s="6">
        <v>1</v>
      </c>
      <c r="C37" s="17">
        <f t="shared" si="0"/>
        <v>45713</v>
      </c>
      <c r="D37" s="18" t="str">
        <f>CHOOSE(WEEKDAY(C37,2),'Não Apagar'!$C$3,'Não Apagar'!$C$4,'Não Apagar'!$C$5,'Não Apagar'!$C$6,'Não Apagar'!$C$7,'Não Apagar'!$C$8,'Não Apagar'!$C$9)</f>
        <v>Terça-feira</v>
      </c>
      <c r="E37" s="20"/>
      <c r="F37" s="20"/>
      <c r="G37" s="20"/>
      <c r="H37" s="20"/>
      <c r="I37" s="26">
        <f t="shared" si="1"/>
        <v>0</v>
      </c>
      <c r="J37" s="26">
        <f>MAX(0,MIN(I37,'Não Apagar'!$J$3))</f>
        <v>0</v>
      </c>
      <c r="K37" s="38">
        <f>MAX(0,I37-'Não Apagar'!$J$3)</f>
        <v>0</v>
      </c>
      <c r="L37" s="29">
        <f t="shared" ref="L37:L40" si="5">L36+K37</f>
        <v>0</v>
      </c>
      <c r="P37" s="6">
        <v>1</v>
      </c>
    </row>
    <row r="38" spans="1:16" x14ac:dyDescent="0.25">
      <c r="A38" s="6">
        <v>1</v>
      </c>
      <c r="C38" s="17">
        <f t="shared" si="0"/>
        <v>45714</v>
      </c>
      <c r="D38" s="18" t="str">
        <f>CHOOSE(WEEKDAY(C38,2),'Não Apagar'!$C$3,'Não Apagar'!$C$4,'Não Apagar'!$C$5,'Não Apagar'!$C$6,'Não Apagar'!$C$7,'Não Apagar'!$C$8,'Não Apagar'!$C$9)</f>
        <v>Quarta-feira</v>
      </c>
      <c r="E38" s="20"/>
      <c r="F38" s="20"/>
      <c r="G38" s="20"/>
      <c r="H38" s="20"/>
      <c r="I38" s="26">
        <f t="shared" si="1"/>
        <v>0</v>
      </c>
      <c r="J38" s="26">
        <f>MAX(0,MIN(I38,'Não Apagar'!$J$3))</f>
        <v>0</v>
      </c>
      <c r="K38" s="38">
        <f>MAX(0,I38-'Não Apagar'!$J$3)</f>
        <v>0</v>
      </c>
      <c r="L38" s="29">
        <f t="shared" si="5"/>
        <v>0</v>
      </c>
      <c r="P38" s="6">
        <v>1</v>
      </c>
    </row>
    <row r="39" spans="1:16" x14ac:dyDescent="0.25">
      <c r="A39" s="6">
        <v>1</v>
      </c>
      <c r="C39" s="17">
        <f t="shared" si="0"/>
        <v>45715</v>
      </c>
      <c r="D39" s="18" t="str">
        <f>CHOOSE(WEEKDAY(C39,2),'Não Apagar'!$C$3,'Não Apagar'!$C$4,'Não Apagar'!$C$5,'Não Apagar'!$C$6,'Não Apagar'!$C$7,'Não Apagar'!$C$8,'Não Apagar'!$C$9)</f>
        <v>Segunda-feira</v>
      </c>
      <c r="E39" s="20"/>
      <c r="F39" s="20"/>
      <c r="G39" s="20"/>
      <c r="H39" s="20"/>
      <c r="I39" s="26">
        <f t="shared" si="1"/>
        <v>0</v>
      </c>
      <c r="J39" s="26">
        <f>MAX(0,MIN(I39,'Não Apagar'!$J$3))</f>
        <v>0</v>
      </c>
      <c r="K39" s="38">
        <f>MAX(0,I39-'Não Apagar'!$J$3)</f>
        <v>0</v>
      </c>
      <c r="L39" s="29">
        <f t="shared" si="5"/>
        <v>0</v>
      </c>
      <c r="P39" s="6">
        <v>1</v>
      </c>
    </row>
    <row r="40" spans="1:16" x14ac:dyDescent="0.25">
      <c r="A40" s="6">
        <v>1</v>
      </c>
      <c r="C40" s="17">
        <f t="shared" si="0"/>
        <v>45716</v>
      </c>
      <c r="D40" s="18" t="str">
        <f>CHOOSE(WEEKDAY(C40,2),'Não Apagar'!$C$3,'Não Apagar'!$C$4,'Não Apagar'!$C$5,'Não Apagar'!$C$6,'Não Apagar'!$C$7,'Não Apagar'!$C$8,'Não Apagar'!$C$9)</f>
        <v>Sexta-feira</v>
      </c>
      <c r="E40" s="19"/>
      <c r="F40" s="19"/>
      <c r="G40" s="19"/>
      <c r="H40" s="19"/>
      <c r="I40" s="26">
        <f t="shared" si="1"/>
        <v>0</v>
      </c>
      <c r="J40" s="26">
        <f>MAX(0,MIN(I40,'Não Apagar'!$J$3))</f>
        <v>0</v>
      </c>
      <c r="K40" s="38">
        <f>MAX(0,I40-'Não Apagar'!$J$3)</f>
        <v>0</v>
      </c>
      <c r="L40" s="29">
        <f t="shared" si="5"/>
        <v>0</v>
      </c>
      <c r="P40" s="6">
        <v>1</v>
      </c>
    </row>
    <row r="41" spans="1:16" x14ac:dyDescent="0.25">
      <c r="A41" s="6">
        <v>1</v>
      </c>
      <c r="C41" s="17"/>
      <c r="D41" s="18"/>
      <c r="E41" s="19"/>
      <c r="F41" s="19"/>
      <c r="G41" s="19"/>
      <c r="H41" s="19"/>
      <c r="I41" s="26"/>
      <c r="J41" s="26"/>
      <c r="K41" s="38"/>
      <c r="L41" s="29"/>
      <c r="P41" s="6">
        <v>1</v>
      </c>
    </row>
    <row r="42" spans="1:16" x14ac:dyDescent="0.25">
      <c r="A42" s="6">
        <v>1</v>
      </c>
      <c r="C42" s="17"/>
      <c r="D42" s="18"/>
      <c r="E42" s="20"/>
      <c r="F42" s="20"/>
      <c r="G42" s="20"/>
      <c r="H42" s="20"/>
      <c r="I42" s="26"/>
      <c r="J42" s="26"/>
      <c r="K42" s="38"/>
      <c r="L42" s="29"/>
      <c r="P42" s="6">
        <v>1</v>
      </c>
    </row>
    <row r="43" spans="1:16" x14ac:dyDescent="0.25">
      <c r="A43" s="6">
        <v>1</v>
      </c>
      <c r="P43" s="6">
        <v>1</v>
      </c>
    </row>
    <row r="44" spans="1:16" x14ac:dyDescent="0.25">
      <c r="A44" s="6">
        <v>1</v>
      </c>
      <c r="P44" s="6">
        <v>1</v>
      </c>
    </row>
    <row r="45" spans="1:16" x14ac:dyDescent="0.25">
      <c r="A45" s="6">
        <v>1</v>
      </c>
      <c r="J45" s="30" t="s">
        <v>19</v>
      </c>
      <c r="K45" s="31"/>
      <c r="L45" s="32">
        <f>IFERROR(INDEX(L13:L42,MATCH(9^9,H13:H42)),Jan.25!L44)</f>
        <v>0</v>
      </c>
      <c r="P45" s="6">
        <v>1</v>
      </c>
    </row>
    <row r="46" spans="1:16" x14ac:dyDescent="0.25">
      <c r="A46" s="6"/>
      <c r="P46" s="6"/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>
        <v>1</v>
      </c>
      <c r="C52" s="22"/>
      <c r="D52" s="22"/>
      <c r="E52" s="22"/>
      <c r="F52" s="22"/>
      <c r="G52" s="22"/>
      <c r="H52" s="22"/>
      <c r="I52" s="22"/>
      <c r="P52" s="6">
        <v>1</v>
      </c>
    </row>
    <row r="53" spans="1:16" x14ac:dyDescent="0.25">
      <c r="A53" s="6">
        <v>1</v>
      </c>
      <c r="C53" s="92">
        <f ca="1">TODAY()</f>
        <v>46037</v>
      </c>
      <c r="D53" s="92"/>
      <c r="E53" s="92"/>
      <c r="F53" s="92"/>
      <c r="G53" s="92"/>
      <c r="H53" s="92"/>
      <c r="I53" s="92"/>
      <c r="P53" s="6">
        <v>1</v>
      </c>
    </row>
    <row r="54" spans="1:16" x14ac:dyDescent="0.25">
      <c r="A54" s="6">
        <v>1</v>
      </c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B61" s="6">
        <v>1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</row>
  </sheetData>
  <mergeCells count="4">
    <mergeCell ref="D5:G5"/>
    <mergeCell ref="D6:G6"/>
    <mergeCell ref="C11:L11"/>
    <mergeCell ref="C53:I5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T61"/>
  <sheetViews>
    <sheetView showGridLines="0" topLeftCell="A11" zoomScale="85" zoomScaleNormal="85" workbookViewId="0">
      <selection activeCell="L39" sqref="L39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17.88671875" style="2" customWidth="1"/>
    <col min="11" max="11" width="16.33203125" style="2" customWidth="1"/>
    <col min="12" max="12" width="39.4414062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22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23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v>45717</v>
      </c>
      <c r="D13" s="15" t="str">
        <f>CHOOSE(WEEKDAY(C13,2),'Não Apagar'!$C$3,'Não Apagar'!$C$4,'Não Apagar'!$C$5,'Não Apagar'!$C$6,'Não Apagar'!$C$7,'Não Apagar'!$C$8,'Não Apagar'!$C$9)</f>
        <v>Sábado</v>
      </c>
      <c r="E13" s="21"/>
      <c r="F13" s="21"/>
      <c r="G13" s="21"/>
      <c r="H13" s="21"/>
      <c r="I13" s="23"/>
      <c r="J13" s="23"/>
      <c r="K13" s="39"/>
      <c r="L13" s="39"/>
      <c r="P13" s="6">
        <v>1</v>
      </c>
    </row>
    <row r="14" spans="1:16" x14ac:dyDescent="0.25">
      <c r="A14" s="6">
        <v>1</v>
      </c>
      <c r="C14" s="14">
        <f t="shared" ref="C14:C43" si="0">C13+1</f>
        <v>45718</v>
      </c>
      <c r="D14" s="15" t="str">
        <f>CHOOSE(WEEKDAY(C14,2),'Não Apagar'!$C$3,'Não Apagar'!$C$4,'Não Apagar'!$C$5,'Não Apagar'!$C$6,'Não Apagar'!$C$7,'Não Apagar'!$C$8,'Não Apagar'!$C$9)</f>
        <v>Domingo</v>
      </c>
      <c r="E14" s="16"/>
      <c r="F14" s="16"/>
      <c r="G14" s="16"/>
      <c r="H14" s="16"/>
      <c r="I14" s="23"/>
      <c r="J14" s="23"/>
      <c r="K14" s="24"/>
      <c r="L14" s="25"/>
      <c r="P14" s="6">
        <v>1</v>
      </c>
    </row>
    <row r="15" spans="1:16" x14ac:dyDescent="0.25">
      <c r="A15" s="6">
        <v>1</v>
      </c>
      <c r="C15" s="17">
        <f t="shared" si="0"/>
        <v>45719</v>
      </c>
      <c r="D15" s="18" t="str">
        <f>CHOOSE(WEEKDAY(C15,2),'Não Apagar'!$C$3,'Não Apagar'!$C$4,'Não Apagar'!$C$5,'Não Apagar'!$C$6,'Não Apagar'!$C$7,'Não Apagar'!$C$8,'Não Apagar'!$C$9)</f>
        <v>Segunda-feira</v>
      </c>
      <c r="E15" s="20"/>
      <c r="F15" s="20"/>
      <c r="G15" s="20"/>
      <c r="H15" s="20"/>
      <c r="I15" s="26">
        <f t="shared" ref="I15:I40" si="1">((H15-E15)-(G15-F15))*24</f>
        <v>0</v>
      </c>
      <c r="J15" s="26">
        <f>MAX(0,MIN(I15,'Não Apagar'!$J$3))</f>
        <v>0</v>
      </c>
      <c r="K15" s="38">
        <f>MAX(0,I15-'Não Apagar'!$J$3)</f>
        <v>0</v>
      </c>
      <c r="L15" s="29">
        <f>K15+Fev.25!L45</f>
        <v>0</v>
      </c>
      <c r="P15" s="6">
        <v>1</v>
      </c>
    </row>
    <row r="16" spans="1:16" x14ac:dyDescent="0.25">
      <c r="A16" s="6">
        <v>1</v>
      </c>
      <c r="C16" s="17">
        <f t="shared" si="0"/>
        <v>45720</v>
      </c>
      <c r="D16" s="18" t="str">
        <f>CHOOSE(WEEKDAY(C16,2),'Não Apagar'!$C$3,'Não Apagar'!$C$4,'Não Apagar'!$C$5,'Não Apagar'!$C$6,'Não Apagar'!$C$7,'Não Apagar'!$C$8,'Não Apagar'!$C$9)</f>
        <v>Terça-feira</v>
      </c>
      <c r="E16" s="20"/>
      <c r="F16" s="20"/>
      <c r="G16" s="20"/>
      <c r="H16" s="20"/>
      <c r="I16" s="26">
        <f t="shared" si="1"/>
        <v>0</v>
      </c>
      <c r="J16" s="26">
        <f>MAX(0,MIN(I16,'Não Apagar'!$J$3))</f>
        <v>0</v>
      </c>
      <c r="K16" s="38">
        <f>MAX(0,I16-'Não Apagar'!$J$3)</f>
        <v>0</v>
      </c>
      <c r="L16" s="29">
        <f>L15+K16</f>
        <v>0</v>
      </c>
      <c r="P16" s="6">
        <v>1</v>
      </c>
    </row>
    <row r="17" spans="1:16" x14ac:dyDescent="0.25">
      <c r="A17" s="6">
        <v>1</v>
      </c>
      <c r="C17" s="17">
        <f t="shared" si="0"/>
        <v>45721</v>
      </c>
      <c r="D17" s="18" t="str">
        <f>CHOOSE(WEEKDAY(C17,2),'Não Apagar'!$C$3,'Não Apagar'!$C$4,'Não Apagar'!$C$5,'Não Apagar'!$C$6,'Não Apagar'!$C$7,'Não Apagar'!$C$8,'Não Apagar'!$C$9)</f>
        <v>Quarta-feira</v>
      </c>
      <c r="E17" s="20"/>
      <c r="F17" s="20"/>
      <c r="G17" s="20"/>
      <c r="H17" s="20"/>
      <c r="I17" s="26">
        <f t="shared" si="1"/>
        <v>0</v>
      </c>
      <c r="J17" s="26">
        <f>MAX(0,MIN(I17,'Não Apagar'!$J$3))</f>
        <v>0</v>
      </c>
      <c r="K17" s="38">
        <f>MAX(0,I17-'Não Apagar'!$J$3)</f>
        <v>0</v>
      </c>
      <c r="L17" s="29">
        <f t="shared" ref="L17:L19" si="2">L16+K17</f>
        <v>0</v>
      </c>
      <c r="P17" s="6">
        <v>1</v>
      </c>
    </row>
    <row r="18" spans="1:16" x14ac:dyDescent="0.25">
      <c r="A18" s="6">
        <v>1</v>
      </c>
      <c r="C18" s="17">
        <f t="shared" si="0"/>
        <v>45722</v>
      </c>
      <c r="D18" s="18" t="str">
        <f>CHOOSE(WEEKDAY(C18,2),'Não Apagar'!$C$3,'Não Apagar'!$C$4,'Não Apagar'!$C$5,'Não Apagar'!$C$6,'Não Apagar'!$C$7,'Não Apagar'!$C$8,'Não Apagar'!$C$9)</f>
        <v>Segunda-feira</v>
      </c>
      <c r="E18" s="20"/>
      <c r="F18" s="20"/>
      <c r="G18" s="20"/>
      <c r="H18" s="20"/>
      <c r="I18" s="26">
        <f t="shared" si="1"/>
        <v>0</v>
      </c>
      <c r="J18" s="26">
        <f>MAX(0,MIN(I18,'Não Apagar'!$J$3))</f>
        <v>0</v>
      </c>
      <c r="K18" s="38">
        <f>MAX(0,I18-'Não Apagar'!$J$3)</f>
        <v>0</v>
      </c>
      <c r="L18" s="29">
        <f t="shared" si="2"/>
        <v>0</v>
      </c>
      <c r="P18" s="6">
        <v>1</v>
      </c>
    </row>
    <row r="19" spans="1:16" x14ac:dyDescent="0.25">
      <c r="A19" s="6">
        <v>1</v>
      </c>
      <c r="C19" s="17">
        <f t="shared" si="0"/>
        <v>45723</v>
      </c>
      <c r="D19" s="18" t="str">
        <f>CHOOSE(WEEKDAY(C19,2),'Não Apagar'!$C$3,'Não Apagar'!$C$4,'Não Apagar'!$C$5,'Não Apagar'!$C$6,'Não Apagar'!$C$7,'Não Apagar'!$C$8,'Não Apagar'!$C$9)</f>
        <v>Sexta-feira</v>
      </c>
      <c r="E19" s="19"/>
      <c r="F19" s="19"/>
      <c r="G19" s="19"/>
      <c r="H19" s="19"/>
      <c r="I19" s="26">
        <f t="shared" si="1"/>
        <v>0</v>
      </c>
      <c r="J19" s="26">
        <f>MAX(0,MIN(I19,'Não Apagar'!$J$3))</f>
        <v>0</v>
      </c>
      <c r="K19" s="38">
        <f>MAX(0,I19-'Não Apagar'!$J$3)</f>
        <v>0</v>
      </c>
      <c r="L19" s="29">
        <f t="shared" si="2"/>
        <v>0</v>
      </c>
      <c r="P19" s="6">
        <v>1</v>
      </c>
    </row>
    <row r="20" spans="1:16" x14ac:dyDescent="0.25">
      <c r="A20" s="6">
        <v>1</v>
      </c>
      <c r="C20" s="14">
        <f t="shared" si="0"/>
        <v>45724</v>
      </c>
      <c r="D20" s="15" t="str">
        <f>CHOOSE(WEEKDAY(C20,2),'Não Apagar'!$C$3,'Não Apagar'!$C$4,'Não Apagar'!$C$5,'Não Apagar'!$C$6,'Não Apagar'!$C$7,'Não Apagar'!$C$8,'Não Apagar'!$C$9)</f>
        <v>Sábado</v>
      </c>
      <c r="E20" s="21"/>
      <c r="F20" s="21"/>
      <c r="G20" s="21"/>
      <c r="H20" s="21"/>
      <c r="I20" s="23"/>
      <c r="J20" s="23"/>
      <c r="K20" s="24"/>
      <c r="L20" s="25"/>
      <c r="P20" s="6">
        <v>1</v>
      </c>
    </row>
    <row r="21" spans="1:16" x14ac:dyDescent="0.25">
      <c r="A21" s="6">
        <v>1</v>
      </c>
      <c r="C21" s="14">
        <f t="shared" si="0"/>
        <v>45725</v>
      </c>
      <c r="D21" s="15" t="str">
        <f>CHOOSE(WEEKDAY(C21,2),'Não Apagar'!$C$3,'Não Apagar'!$C$4,'Não Apagar'!$C$5,'Não Apagar'!$C$6,'Não Apagar'!$C$7,'Não Apagar'!$C$8,'Não Apagar'!$C$9)</f>
        <v>Domingo</v>
      </c>
      <c r="E21" s="16"/>
      <c r="F21" s="16"/>
      <c r="G21" s="16"/>
      <c r="H21" s="16"/>
      <c r="I21" s="23"/>
      <c r="J21" s="23"/>
      <c r="K21" s="24"/>
      <c r="L21" s="25"/>
      <c r="P21" s="6">
        <v>1</v>
      </c>
    </row>
    <row r="22" spans="1:16" x14ac:dyDescent="0.25">
      <c r="A22" s="6">
        <v>1</v>
      </c>
      <c r="C22" s="17">
        <f t="shared" si="0"/>
        <v>45726</v>
      </c>
      <c r="D22" s="18" t="str">
        <f>CHOOSE(WEEKDAY(C22,2),'Não Apagar'!$C$3,'Não Apagar'!$C$4,'Não Apagar'!$C$5,'Não Apagar'!$C$6,'Não Apagar'!$C$7,'Não Apagar'!$C$8,'Não Apagar'!$C$9)</f>
        <v>Segunda-feira</v>
      </c>
      <c r="E22" s="20"/>
      <c r="F22" s="20"/>
      <c r="G22" s="20"/>
      <c r="H22" s="20"/>
      <c r="I22" s="26">
        <f t="shared" si="1"/>
        <v>0</v>
      </c>
      <c r="J22" s="26">
        <f>MAX(0,MIN(I22,'Não Apagar'!$J$3))</f>
        <v>0</v>
      </c>
      <c r="K22" s="38">
        <f>MAX(0,I22-'Não Apagar'!$J$3)</f>
        <v>0</v>
      </c>
      <c r="L22" s="29">
        <f>L19+K22</f>
        <v>0</v>
      </c>
      <c r="P22" s="6">
        <v>1</v>
      </c>
    </row>
    <row r="23" spans="1:16" x14ac:dyDescent="0.25">
      <c r="A23" s="6">
        <v>1</v>
      </c>
      <c r="C23" s="17">
        <f t="shared" si="0"/>
        <v>45727</v>
      </c>
      <c r="D23" s="18" t="str">
        <f>CHOOSE(WEEKDAY(C23,2),'Não Apagar'!$C$3,'Não Apagar'!$C$4,'Não Apagar'!$C$5,'Não Apagar'!$C$6,'Não Apagar'!$C$7,'Não Apagar'!$C$8,'Não Apagar'!$C$9)</f>
        <v>Terça-feira</v>
      </c>
      <c r="E23" s="20"/>
      <c r="F23" s="20"/>
      <c r="G23" s="20"/>
      <c r="H23" s="20"/>
      <c r="I23" s="26">
        <f t="shared" si="1"/>
        <v>0</v>
      </c>
      <c r="J23" s="26">
        <f>MAX(0,MIN(I23,'Não Apagar'!$J$3))</f>
        <v>0</v>
      </c>
      <c r="K23" s="38">
        <f>MAX(0,I23-'Não Apagar'!$J$3)</f>
        <v>0</v>
      </c>
      <c r="L23" s="29">
        <f t="shared" ref="L23:L26" si="3">L22+K23</f>
        <v>0</v>
      </c>
      <c r="P23" s="6">
        <v>1</v>
      </c>
    </row>
    <row r="24" spans="1:16" x14ac:dyDescent="0.25">
      <c r="A24" s="6">
        <v>1</v>
      </c>
      <c r="C24" s="17">
        <f t="shared" si="0"/>
        <v>45728</v>
      </c>
      <c r="D24" s="18" t="str">
        <f>CHOOSE(WEEKDAY(C24,2),'Não Apagar'!$C$3,'Não Apagar'!$C$4,'Não Apagar'!$C$5,'Não Apagar'!$C$6,'Não Apagar'!$C$7,'Não Apagar'!$C$8,'Não Apagar'!$C$9)</f>
        <v>Quarta-feira</v>
      </c>
      <c r="E24" s="20"/>
      <c r="F24" s="20"/>
      <c r="G24" s="20"/>
      <c r="H24" s="20"/>
      <c r="I24" s="26">
        <f t="shared" si="1"/>
        <v>0</v>
      </c>
      <c r="J24" s="26">
        <f>MAX(0,MIN(I24,'Não Apagar'!$J$3))</f>
        <v>0</v>
      </c>
      <c r="K24" s="38">
        <f>MAX(0,I24-'Não Apagar'!$J$3)</f>
        <v>0</v>
      </c>
      <c r="L24" s="29">
        <f t="shared" si="3"/>
        <v>0</v>
      </c>
      <c r="P24" s="6">
        <v>1</v>
      </c>
    </row>
    <row r="25" spans="1:16" x14ac:dyDescent="0.25">
      <c r="A25" s="6">
        <v>1</v>
      </c>
      <c r="C25" s="17">
        <f t="shared" si="0"/>
        <v>45729</v>
      </c>
      <c r="D25" s="18" t="str">
        <f>CHOOSE(WEEKDAY(C25,2),'Não Apagar'!$C$3,'Não Apagar'!$C$4,'Não Apagar'!$C$5,'Não Apagar'!$C$6,'Não Apagar'!$C$7,'Não Apagar'!$C$8,'Não Apagar'!$C$9)</f>
        <v>Segunda-feira</v>
      </c>
      <c r="E25" s="20"/>
      <c r="F25" s="20"/>
      <c r="G25" s="20"/>
      <c r="H25" s="20"/>
      <c r="I25" s="26">
        <f t="shared" si="1"/>
        <v>0</v>
      </c>
      <c r="J25" s="26">
        <f>MAX(0,MIN(I25,'Não Apagar'!$J$3))</f>
        <v>0</v>
      </c>
      <c r="K25" s="38">
        <f>MAX(0,I25-'Não Apagar'!$J$3)</f>
        <v>0</v>
      </c>
      <c r="L25" s="29">
        <f t="shared" si="3"/>
        <v>0</v>
      </c>
      <c r="P25" s="6">
        <v>1</v>
      </c>
    </row>
    <row r="26" spans="1:16" x14ac:dyDescent="0.25">
      <c r="A26" s="6">
        <v>1</v>
      </c>
      <c r="C26" s="17">
        <f t="shared" si="0"/>
        <v>45730</v>
      </c>
      <c r="D26" s="18" t="str">
        <f>CHOOSE(WEEKDAY(C26,2),'Não Apagar'!$C$3,'Não Apagar'!$C$4,'Não Apagar'!$C$5,'Não Apagar'!$C$6,'Não Apagar'!$C$7,'Não Apagar'!$C$8,'Não Apagar'!$C$9)</f>
        <v>Sexta-feira</v>
      </c>
      <c r="E26" s="19"/>
      <c r="F26" s="19"/>
      <c r="G26" s="19"/>
      <c r="H26" s="19"/>
      <c r="I26" s="26">
        <f t="shared" si="1"/>
        <v>0</v>
      </c>
      <c r="J26" s="26">
        <f>MAX(0,MIN(I26,'Não Apagar'!$J$3))</f>
        <v>0</v>
      </c>
      <c r="K26" s="38">
        <f>MAX(0,I26-'Não Apagar'!$J$3)</f>
        <v>0</v>
      </c>
      <c r="L26" s="29">
        <f t="shared" si="3"/>
        <v>0</v>
      </c>
      <c r="P26" s="6">
        <v>1</v>
      </c>
    </row>
    <row r="27" spans="1:16" x14ac:dyDescent="0.25">
      <c r="A27" s="6">
        <v>1</v>
      </c>
      <c r="C27" s="14">
        <f t="shared" si="0"/>
        <v>45731</v>
      </c>
      <c r="D27" s="15" t="str">
        <f>CHOOSE(WEEKDAY(C27,2),'Não Apagar'!$C$3,'Não Apagar'!$C$4,'Não Apagar'!$C$5,'Não Apagar'!$C$6,'Não Apagar'!$C$7,'Não Apagar'!$C$8,'Não Apagar'!$C$9)</f>
        <v>Sábado</v>
      </c>
      <c r="E27" s="21"/>
      <c r="F27" s="21"/>
      <c r="G27" s="21"/>
      <c r="H27" s="21"/>
      <c r="I27" s="23"/>
      <c r="J27" s="23"/>
      <c r="K27" s="24"/>
      <c r="L27" s="25"/>
      <c r="P27" s="6">
        <v>1</v>
      </c>
    </row>
    <row r="28" spans="1:16" x14ac:dyDescent="0.25">
      <c r="A28" s="6">
        <v>1</v>
      </c>
      <c r="C28" s="14">
        <f t="shared" si="0"/>
        <v>45732</v>
      </c>
      <c r="D28" s="15" t="str">
        <f>CHOOSE(WEEKDAY(C28,2),'Não Apagar'!$C$3,'Não Apagar'!$C$4,'Não Apagar'!$C$5,'Não Apagar'!$C$6,'Não Apagar'!$C$7,'Não Apagar'!$C$8,'Não Apagar'!$C$9)</f>
        <v>Domingo</v>
      </c>
      <c r="E28" s="16"/>
      <c r="F28" s="16"/>
      <c r="G28" s="16"/>
      <c r="H28" s="16"/>
      <c r="I28" s="23"/>
      <c r="J28" s="23"/>
      <c r="K28" s="24"/>
      <c r="L28" s="25"/>
      <c r="P28" s="6">
        <v>1</v>
      </c>
    </row>
    <row r="29" spans="1:16" x14ac:dyDescent="0.25">
      <c r="A29" s="6">
        <v>1</v>
      </c>
      <c r="C29" s="17">
        <f t="shared" si="0"/>
        <v>45733</v>
      </c>
      <c r="D29" s="18" t="str">
        <f>CHOOSE(WEEKDAY(C29,2),'Não Apagar'!$C$3,'Não Apagar'!$C$4,'Não Apagar'!$C$5,'Não Apagar'!$C$6,'Não Apagar'!$C$7,'Não Apagar'!$C$8,'Não Apagar'!$C$9)</f>
        <v>Segunda-feira</v>
      </c>
      <c r="E29" s="20"/>
      <c r="F29" s="20"/>
      <c r="G29" s="20"/>
      <c r="H29" s="20"/>
      <c r="I29" s="26">
        <f t="shared" si="1"/>
        <v>0</v>
      </c>
      <c r="J29" s="26">
        <f>MAX(0,MIN(I29,'Não Apagar'!$J$3))</f>
        <v>0</v>
      </c>
      <c r="K29" s="38">
        <f>MAX(0,I29-'Não Apagar'!$J$3)</f>
        <v>0</v>
      </c>
      <c r="L29" s="29">
        <f>L26+K29</f>
        <v>0</v>
      </c>
      <c r="P29" s="6">
        <v>1</v>
      </c>
    </row>
    <row r="30" spans="1:16" x14ac:dyDescent="0.25">
      <c r="A30" s="6">
        <v>1</v>
      </c>
      <c r="C30" s="17">
        <f t="shared" si="0"/>
        <v>45734</v>
      </c>
      <c r="D30" s="18" t="str">
        <f>CHOOSE(WEEKDAY(C30,2),'Não Apagar'!$C$3,'Não Apagar'!$C$4,'Não Apagar'!$C$5,'Não Apagar'!$C$6,'Não Apagar'!$C$7,'Não Apagar'!$C$8,'Não Apagar'!$C$9)</f>
        <v>Terça-feira</v>
      </c>
      <c r="E30" s="20"/>
      <c r="F30" s="20"/>
      <c r="G30" s="20"/>
      <c r="H30" s="20"/>
      <c r="I30" s="26">
        <f t="shared" si="1"/>
        <v>0</v>
      </c>
      <c r="J30" s="26">
        <f>MAX(0,MIN(I30,'Não Apagar'!$J$3))</f>
        <v>0</v>
      </c>
      <c r="K30" s="38">
        <f>MAX(0,I30-'Não Apagar'!$J$3)</f>
        <v>0</v>
      </c>
      <c r="L30" s="29">
        <f t="shared" ref="L30:L33" si="4">L29+K30</f>
        <v>0</v>
      </c>
      <c r="P30" s="6">
        <v>1</v>
      </c>
    </row>
    <row r="31" spans="1:16" x14ac:dyDescent="0.25">
      <c r="A31" s="6">
        <v>1</v>
      </c>
      <c r="C31" s="17">
        <f t="shared" si="0"/>
        <v>45735</v>
      </c>
      <c r="D31" s="18" t="str">
        <f>CHOOSE(WEEKDAY(C31,2),'Não Apagar'!$C$3,'Não Apagar'!$C$4,'Não Apagar'!$C$5,'Não Apagar'!$C$6,'Não Apagar'!$C$7,'Não Apagar'!$C$8,'Não Apagar'!$C$9)</f>
        <v>Quarta-feira</v>
      </c>
      <c r="E31" s="20"/>
      <c r="F31" s="20"/>
      <c r="G31" s="20"/>
      <c r="H31" s="20"/>
      <c r="I31" s="26">
        <f t="shared" si="1"/>
        <v>0</v>
      </c>
      <c r="J31" s="26">
        <f>MAX(0,MIN(I31,'Não Apagar'!$J$3))</f>
        <v>0</v>
      </c>
      <c r="K31" s="38">
        <f>MAX(0,I31-'Não Apagar'!$J$3)</f>
        <v>0</v>
      </c>
      <c r="L31" s="29">
        <f t="shared" si="4"/>
        <v>0</v>
      </c>
      <c r="P31" s="6">
        <v>1</v>
      </c>
    </row>
    <row r="32" spans="1:16" x14ac:dyDescent="0.25">
      <c r="A32" s="6">
        <v>1</v>
      </c>
      <c r="C32" s="17">
        <f t="shared" si="0"/>
        <v>45736</v>
      </c>
      <c r="D32" s="18" t="str">
        <f>CHOOSE(WEEKDAY(C32,2),'Não Apagar'!$C$3,'Não Apagar'!$C$4,'Não Apagar'!$C$5,'Não Apagar'!$C$6,'Não Apagar'!$C$7,'Não Apagar'!$C$8,'Não Apagar'!$C$9)</f>
        <v>Segunda-feira</v>
      </c>
      <c r="E32" s="20"/>
      <c r="F32" s="20"/>
      <c r="G32" s="20"/>
      <c r="H32" s="20"/>
      <c r="I32" s="26">
        <f t="shared" si="1"/>
        <v>0</v>
      </c>
      <c r="J32" s="26">
        <f>MAX(0,MIN(I32,'Não Apagar'!$J$3))</f>
        <v>0</v>
      </c>
      <c r="K32" s="38">
        <f>MAX(0,I32-'Não Apagar'!$J$3)</f>
        <v>0</v>
      </c>
      <c r="L32" s="29">
        <f t="shared" si="4"/>
        <v>0</v>
      </c>
      <c r="P32" s="6">
        <v>1</v>
      </c>
    </row>
    <row r="33" spans="1:20" x14ac:dyDescent="0.25">
      <c r="A33" s="6">
        <v>1</v>
      </c>
      <c r="C33" s="17">
        <f t="shared" si="0"/>
        <v>45737</v>
      </c>
      <c r="D33" s="18" t="str">
        <f>CHOOSE(WEEKDAY(C33,2),'Não Apagar'!$C$3,'Não Apagar'!$C$4,'Não Apagar'!$C$5,'Não Apagar'!$C$6,'Não Apagar'!$C$7,'Não Apagar'!$C$8,'Não Apagar'!$C$9)</f>
        <v>Sexta-feira</v>
      </c>
      <c r="E33" s="19"/>
      <c r="F33" s="19"/>
      <c r="G33" s="19"/>
      <c r="H33" s="19"/>
      <c r="I33" s="26">
        <f t="shared" si="1"/>
        <v>0</v>
      </c>
      <c r="J33" s="26">
        <f>MAX(0,MIN(I33,'Não Apagar'!$J$3))</f>
        <v>0</v>
      </c>
      <c r="K33" s="38">
        <f>MAX(0,I33-'Não Apagar'!$J$3)</f>
        <v>0</v>
      </c>
      <c r="L33" s="29">
        <f t="shared" si="4"/>
        <v>0</v>
      </c>
      <c r="P33" s="6">
        <v>1</v>
      </c>
    </row>
    <row r="34" spans="1:20" x14ac:dyDescent="0.25">
      <c r="A34" s="6">
        <v>1</v>
      </c>
      <c r="C34" s="14">
        <f t="shared" si="0"/>
        <v>45738</v>
      </c>
      <c r="D34" s="15" t="str">
        <f>CHOOSE(WEEKDAY(C34,2),'Não Apagar'!$C$3,'Não Apagar'!$C$4,'Não Apagar'!$C$5,'Não Apagar'!$C$6,'Não Apagar'!$C$7,'Não Apagar'!$C$8,'Não Apagar'!$C$9)</f>
        <v>Sábado</v>
      </c>
      <c r="E34" s="21"/>
      <c r="F34" s="21"/>
      <c r="G34" s="21"/>
      <c r="H34" s="21"/>
      <c r="I34" s="23"/>
      <c r="J34" s="23"/>
      <c r="K34" s="24"/>
      <c r="L34" s="25"/>
      <c r="P34" s="6">
        <v>1</v>
      </c>
    </row>
    <row r="35" spans="1:20" x14ac:dyDescent="0.25">
      <c r="A35" s="6">
        <v>1</v>
      </c>
      <c r="C35" s="14">
        <f t="shared" si="0"/>
        <v>45739</v>
      </c>
      <c r="D35" s="15" t="str">
        <f>CHOOSE(WEEKDAY(C35,2),'Não Apagar'!$C$3,'Não Apagar'!$C$4,'Não Apagar'!$C$5,'Não Apagar'!$C$6,'Não Apagar'!$C$7,'Não Apagar'!$C$8,'Não Apagar'!$C$9)</f>
        <v>Domingo</v>
      </c>
      <c r="E35" s="16"/>
      <c r="F35" s="16"/>
      <c r="G35" s="16"/>
      <c r="H35" s="16"/>
      <c r="I35" s="23"/>
      <c r="J35" s="23"/>
      <c r="K35" s="24"/>
      <c r="L35" s="25"/>
      <c r="P35" s="6">
        <v>1</v>
      </c>
    </row>
    <row r="36" spans="1:20" x14ac:dyDescent="0.25">
      <c r="A36" s="6">
        <v>1</v>
      </c>
      <c r="C36" s="17">
        <f t="shared" si="0"/>
        <v>45740</v>
      </c>
      <c r="D36" s="18" t="str">
        <f>CHOOSE(WEEKDAY(C36,2),'Não Apagar'!$C$3,'Não Apagar'!$C$4,'Não Apagar'!$C$5,'Não Apagar'!$C$6,'Não Apagar'!$C$7,'Não Apagar'!$C$8,'Não Apagar'!$C$9)</f>
        <v>Segunda-feira</v>
      </c>
      <c r="E36" s="20"/>
      <c r="F36" s="20"/>
      <c r="G36" s="20"/>
      <c r="H36" s="20"/>
      <c r="I36" s="26">
        <f t="shared" si="1"/>
        <v>0</v>
      </c>
      <c r="J36" s="26">
        <f>MAX(0,MIN(I36,'Não Apagar'!$J$3))</f>
        <v>0</v>
      </c>
      <c r="K36" s="38">
        <f>MAX(0,I36-'Não Apagar'!$J$3)</f>
        <v>0</v>
      </c>
      <c r="L36" s="29">
        <f>L33+K36</f>
        <v>0</v>
      </c>
      <c r="P36" s="6">
        <v>1</v>
      </c>
    </row>
    <row r="37" spans="1:20" x14ac:dyDescent="0.25">
      <c r="A37" s="6">
        <v>1</v>
      </c>
      <c r="C37" s="17">
        <f t="shared" si="0"/>
        <v>45741</v>
      </c>
      <c r="D37" s="18" t="str">
        <f>CHOOSE(WEEKDAY(C37,2),'Não Apagar'!$C$3,'Não Apagar'!$C$4,'Não Apagar'!$C$5,'Não Apagar'!$C$6,'Não Apagar'!$C$7,'Não Apagar'!$C$8,'Não Apagar'!$C$9)</f>
        <v>Terça-feira</v>
      </c>
      <c r="E37" s="20"/>
      <c r="F37" s="20"/>
      <c r="G37" s="20"/>
      <c r="H37" s="20"/>
      <c r="I37" s="26">
        <f t="shared" si="1"/>
        <v>0</v>
      </c>
      <c r="J37" s="26">
        <f>MAX(0,MIN(I37,'Não Apagar'!$J$3))</f>
        <v>0</v>
      </c>
      <c r="K37" s="38">
        <f>MAX(0,I37-'Não Apagar'!$J$3)</f>
        <v>0</v>
      </c>
      <c r="L37" s="29">
        <f t="shared" ref="L37:L40" si="5">L36+K37</f>
        <v>0</v>
      </c>
      <c r="P37" s="6">
        <v>1</v>
      </c>
    </row>
    <row r="38" spans="1:20" x14ac:dyDescent="0.25">
      <c r="A38" s="6">
        <v>1</v>
      </c>
      <c r="C38" s="17">
        <f t="shared" si="0"/>
        <v>45742</v>
      </c>
      <c r="D38" s="18" t="str">
        <f>CHOOSE(WEEKDAY(C38,2),'Não Apagar'!$C$3,'Não Apagar'!$C$4,'Não Apagar'!$C$5,'Não Apagar'!$C$6,'Não Apagar'!$C$7,'Não Apagar'!$C$8,'Não Apagar'!$C$9)</f>
        <v>Quarta-feira</v>
      </c>
      <c r="E38" s="20"/>
      <c r="F38" s="20"/>
      <c r="G38" s="20"/>
      <c r="H38" s="20"/>
      <c r="I38" s="26">
        <f t="shared" si="1"/>
        <v>0</v>
      </c>
      <c r="J38" s="26">
        <f>MAX(0,MIN(I38,'Não Apagar'!$J$3))</f>
        <v>0</v>
      </c>
      <c r="K38" s="38">
        <f>MAX(0,I38-'Não Apagar'!$J$3)</f>
        <v>0</v>
      </c>
      <c r="L38" s="29">
        <f t="shared" si="5"/>
        <v>0</v>
      </c>
      <c r="P38" s="6">
        <v>1</v>
      </c>
    </row>
    <row r="39" spans="1:20" x14ac:dyDescent="0.25">
      <c r="A39" s="6">
        <v>1</v>
      </c>
      <c r="C39" s="17">
        <f t="shared" si="0"/>
        <v>45743</v>
      </c>
      <c r="D39" s="18" t="str">
        <f>CHOOSE(WEEKDAY(C39,2),'Não Apagar'!$C$3,'Não Apagar'!$C$4,'Não Apagar'!$C$5,'Não Apagar'!$C$6,'Não Apagar'!$C$7,'Não Apagar'!$C$8,'Não Apagar'!$C$9)</f>
        <v>Segunda-feira</v>
      </c>
      <c r="E39" s="20"/>
      <c r="F39" s="20"/>
      <c r="G39" s="20"/>
      <c r="H39" s="20"/>
      <c r="I39" s="26">
        <f t="shared" si="1"/>
        <v>0</v>
      </c>
      <c r="J39" s="26">
        <f>MAX(0,MIN(I39,'Não Apagar'!$J$3))</f>
        <v>0</v>
      </c>
      <c r="K39" s="38">
        <f>MAX(0,I39-'Não Apagar'!$J$3)</f>
        <v>0</v>
      </c>
      <c r="L39" s="29">
        <f t="shared" si="5"/>
        <v>0</v>
      </c>
      <c r="P39" s="6">
        <v>1</v>
      </c>
      <c r="T39" s="29"/>
    </row>
    <row r="40" spans="1:20" x14ac:dyDescent="0.25">
      <c r="A40" s="6">
        <v>1</v>
      </c>
      <c r="C40" s="17">
        <f t="shared" si="0"/>
        <v>45744</v>
      </c>
      <c r="D40" s="18" t="str">
        <f>CHOOSE(WEEKDAY(C40,2),'Não Apagar'!$C$3,'Não Apagar'!$C$4,'Não Apagar'!$C$5,'Não Apagar'!$C$6,'Não Apagar'!$C$7,'Não Apagar'!$C$8,'Não Apagar'!$C$9)</f>
        <v>Sexta-feira</v>
      </c>
      <c r="E40" s="20"/>
      <c r="F40" s="20"/>
      <c r="G40" s="20"/>
      <c r="H40" s="20"/>
      <c r="I40" s="26">
        <f t="shared" si="1"/>
        <v>0</v>
      </c>
      <c r="J40" s="26">
        <f>MAX(0,MIN(I40,'Não Apagar'!$J$3))</f>
        <v>0</v>
      </c>
      <c r="K40" s="38">
        <f>MAX(0,I40-'Não Apagar'!$J$3)</f>
        <v>0</v>
      </c>
      <c r="L40" s="29">
        <f t="shared" si="5"/>
        <v>0</v>
      </c>
      <c r="P40" s="6">
        <v>1</v>
      </c>
      <c r="T40" s="29"/>
    </row>
    <row r="41" spans="1:20" x14ac:dyDescent="0.25">
      <c r="A41" s="6">
        <v>1</v>
      </c>
      <c r="C41" s="14">
        <f t="shared" si="0"/>
        <v>45745</v>
      </c>
      <c r="D41" s="15" t="str">
        <f>CHOOSE(WEEKDAY(C41,2),'Não Apagar'!$C$3,'Não Apagar'!$C$4,'Não Apagar'!$C$5,'Não Apagar'!$C$6,'Não Apagar'!$C$7,'Não Apagar'!$C$8,'Não Apagar'!$C$9)</f>
        <v>Sábado</v>
      </c>
      <c r="E41" s="21"/>
      <c r="F41" s="21"/>
      <c r="G41" s="21"/>
      <c r="H41" s="21"/>
      <c r="I41" s="23"/>
      <c r="J41" s="23"/>
      <c r="K41" s="24"/>
      <c r="L41" s="25"/>
      <c r="P41" s="6">
        <v>1</v>
      </c>
      <c r="T41" s="29"/>
    </row>
    <row r="42" spans="1:20" x14ac:dyDescent="0.25">
      <c r="A42" s="6">
        <v>1</v>
      </c>
      <c r="C42" s="14">
        <f t="shared" si="0"/>
        <v>45746</v>
      </c>
      <c r="D42" s="15" t="str">
        <f>CHOOSE(WEEKDAY(C42,2),'Não Apagar'!$C$3,'Não Apagar'!$C$4,'Não Apagar'!$C$5,'Não Apagar'!$C$6,'Não Apagar'!$C$7,'Não Apagar'!$C$8,'Não Apagar'!$C$9)</f>
        <v>Domingo</v>
      </c>
      <c r="E42" s="21"/>
      <c r="F42" s="21"/>
      <c r="G42" s="21"/>
      <c r="H42" s="21"/>
      <c r="I42" s="23"/>
      <c r="J42" s="23"/>
      <c r="K42" s="24"/>
      <c r="L42" s="25"/>
      <c r="P42" s="6">
        <v>1</v>
      </c>
      <c r="T42" s="29"/>
    </row>
    <row r="43" spans="1:20" x14ac:dyDescent="0.25">
      <c r="A43" s="6">
        <v>1</v>
      </c>
      <c r="C43" s="17">
        <f t="shared" si="0"/>
        <v>45747</v>
      </c>
      <c r="D43" s="18" t="str">
        <f>CHOOSE(WEEKDAY(C43,2),'Não Apagar'!$C$3,'Não Apagar'!$C$4,'Não Apagar'!$C$5,'Não Apagar'!$C$6,'Não Apagar'!$C$7,'Não Apagar'!$C$8,'Não Apagar'!$C$9)</f>
        <v>Segunda-feira</v>
      </c>
      <c r="E43" s="20"/>
      <c r="F43" s="20"/>
      <c r="G43" s="20"/>
      <c r="H43" s="20"/>
      <c r="I43" s="26">
        <f t="shared" ref="I43" si="6">((H43-E43)-(G43-F43))*24</f>
        <v>0</v>
      </c>
      <c r="J43" s="26">
        <f>MAX(0,MIN(I43,'Não Apagar'!$J$3))</f>
        <v>0</v>
      </c>
      <c r="K43" s="38">
        <f>MAX(0,I43-'Não Apagar'!$J$3)</f>
        <v>0</v>
      </c>
      <c r="L43" s="29">
        <f>L40+K43</f>
        <v>0</v>
      </c>
      <c r="P43" s="6">
        <v>1</v>
      </c>
      <c r="T43" s="29"/>
    </row>
    <row r="44" spans="1:20" x14ac:dyDescent="0.25">
      <c r="A44" s="6">
        <v>1</v>
      </c>
      <c r="P44" s="6">
        <v>1</v>
      </c>
    </row>
    <row r="45" spans="1:20" x14ac:dyDescent="0.25">
      <c r="A45" s="6">
        <v>1</v>
      </c>
      <c r="J45" s="30" t="s">
        <v>19</v>
      </c>
      <c r="K45" s="31"/>
      <c r="L45" s="32">
        <f>IFERROR(INDEX(L13:L43,MATCH(9^9,H13:H43)),Fev.25!L45)</f>
        <v>0</v>
      </c>
      <c r="P45" s="6">
        <v>1</v>
      </c>
    </row>
    <row r="46" spans="1:20" x14ac:dyDescent="0.25">
      <c r="A46" s="6"/>
      <c r="P46" s="6"/>
    </row>
    <row r="47" spans="1:20" x14ac:dyDescent="0.25">
      <c r="A47" s="6"/>
      <c r="P47" s="6"/>
    </row>
    <row r="48" spans="1:20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>
        <v>1</v>
      </c>
      <c r="C52" s="22"/>
      <c r="D52" s="22"/>
      <c r="E52" s="22"/>
      <c r="F52" s="22"/>
      <c r="G52" s="22"/>
      <c r="H52" s="22"/>
      <c r="I52" s="22"/>
      <c r="P52" s="6">
        <v>1</v>
      </c>
    </row>
    <row r="53" spans="1:16" x14ac:dyDescent="0.25">
      <c r="A53" s="6">
        <v>1</v>
      </c>
      <c r="C53" s="92">
        <f ca="1">TODAY()</f>
        <v>46037</v>
      </c>
      <c r="D53" s="92"/>
      <c r="E53" s="92"/>
      <c r="F53" s="92"/>
      <c r="G53" s="92"/>
      <c r="H53" s="92"/>
      <c r="I53" s="92"/>
      <c r="P53" s="6">
        <v>1</v>
      </c>
    </row>
    <row r="54" spans="1:16" x14ac:dyDescent="0.25">
      <c r="A54" s="6">
        <v>1</v>
      </c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B61" s="6">
        <v>1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</row>
  </sheetData>
  <mergeCells count="4">
    <mergeCell ref="D5:G5"/>
    <mergeCell ref="D6:G6"/>
    <mergeCell ref="C11:L11"/>
    <mergeCell ref="C53:I5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62"/>
  <sheetViews>
    <sheetView showGridLines="0" topLeftCell="B10" zoomScale="85" zoomScaleNormal="85" workbookViewId="0">
      <selection activeCell="L46" sqref="L46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19.44140625" style="2" customWidth="1"/>
    <col min="11" max="11" width="16" style="2" customWidth="1"/>
    <col min="12" max="12" width="30.4414062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24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f>Mar.25!C43</f>
        <v>45747</v>
      </c>
      <c r="D13" s="14" t="str">
        <f>Mar.25!D43</f>
        <v>Segunda-feira</v>
      </c>
      <c r="E13" s="16"/>
      <c r="F13" s="16"/>
      <c r="G13" s="16"/>
      <c r="H13" s="16"/>
      <c r="I13" s="23"/>
      <c r="J13" s="23"/>
      <c r="K13" s="23"/>
      <c r="L13" s="25"/>
      <c r="P13" s="6">
        <v>1</v>
      </c>
    </row>
    <row r="14" spans="1:16" x14ac:dyDescent="0.25">
      <c r="A14" s="6">
        <v>1</v>
      </c>
      <c r="C14" s="33">
        <v>45748</v>
      </c>
      <c r="D14" s="34" t="str">
        <f>CHOOSE(WEEKDAY(C14,2),'Não Apagar'!$C$3,'Não Apagar'!$C$4,'Não Apagar'!$C$5,'Não Apagar'!$C$6,'Não Apagar'!$C$7,'Não Apagar'!$C$8,'Não Apagar'!$C$9)</f>
        <v>Terça-feira</v>
      </c>
      <c r="E14" s="35"/>
      <c r="F14" s="35"/>
      <c r="G14" s="35"/>
      <c r="H14" s="35"/>
      <c r="I14" s="27">
        <f t="shared" ref="I14:I43" si="0">((H14-E14)-(G14-F14))*24</f>
        <v>0</v>
      </c>
      <c r="J14" s="27">
        <f>MAX(0,MIN(I14,'Não Apagar'!$J$3))</f>
        <v>0</v>
      </c>
      <c r="K14" s="38">
        <f>MAX(0,I14-'Não Apagar'!$J$3)</f>
        <v>0</v>
      </c>
      <c r="L14" s="29">
        <f>K14+Mar.25!L45</f>
        <v>0</v>
      </c>
      <c r="P14" s="6">
        <v>1</v>
      </c>
    </row>
    <row r="15" spans="1:16" x14ac:dyDescent="0.25">
      <c r="A15" s="6">
        <v>1</v>
      </c>
      <c r="C15" s="33">
        <f t="shared" ref="C15:C43" si="1">C14+1</f>
        <v>45749</v>
      </c>
      <c r="D15" s="34" t="str">
        <f>CHOOSE(WEEKDAY(C15,2),'Não Apagar'!$C$3,'Não Apagar'!$C$4,'Não Apagar'!$C$5,'Não Apagar'!$C$6,'Não Apagar'!$C$7,'Não Apagar'!$C$8,'Não Apagar'!$C$9)</f>
        <v>Quarta-feira</v>
      </c>
      <c r="E15" s="37"/>
      <c r="F15" s="37"/>
      <c r="G15" s="37"/>
      <c r="H15" s="37"/>
      <c r="I15" s="27">
        <f t="shared" si="0"/>
        <v>0</v>
      </c>
      <c r="J15" s="27">
        <f>MAX(0,MIN(I15,'Não Apagar'!$J$3))</f>
        <v>0</v>
      </c>
      <c r="K15" s="38">
        <f>MAX(0,I15-'Não Apagar'!$J$3)</f>
        <v>0</v>
      </c>
      <c r="L15" s="29">
        <f t="shared" ref="L15:L17" si="2">L14+K15</f>
        <v>0</v>
      </c>
      <c r="P15" s="6">
        <v>1</v>
      </c>
    </row>
    <row r="16" spans="1:16" x14ac:dyDescent="0.25">
      <c r="A16" s="6">
        <v>1</v>
      </c>
      <c r="C16" s="33">
        <f t="shared" si="1"/>
        <v>45750</v>
      </c>
      <c r="D16" s="34" t="str">
        <f>CHOOSE(WEEKDAY(C16,2),'Não Apagar'!$C$3,'Não Apagar'!$C$4,'Não Apagar'!$C$5,'Não Apagar'!$C$6,'Não Apagar'!$C$7,'Não Apagar'!$C$8,'Não Apagar'!$C$9)</f>
        <v>Segunda-feira</v>
      </c>
      <c r="E16" s="37"/>
      <c r="F16" s="37"/>
      <c r="G16" s="37"/>
      <c r="H16" s="37"/>
      <c r="I16" s="27">
        <f t="shared" si="0"/>
        <v>0</v>
      </c>
      <c r="J16" s="27">
        <f>MAX(0,MIN(I16,'Não Apagar'!$J$3))</f>
        <v>0</v>
      </c>
      <c r="K16" s="38">
        <f>MAX(0,I16-'Não Apagar'!$J$3)</f>
        <v>0</v>
      </c>
      <c r="L16" s="29">
        <f t="shared" si="2"/>
        <v>0</v>
      </c>
      <c r="P16" s="6">
        <v>1</v>
      </c>
    </row>
    <row r="17" spans="1:16" x14ac:dyDescent="0.25">
      <c r="A17" s="6">
        <v>1</v>
      </c>
      <c r="C17" s="33">
        <f t="shared" si="1"/>
        <v>45751</v>
      </c>
      <c r="D17" s="34" t="str">
        <f>CHOOSE(WEEKDAY(C17,2),'Não Apagar'!$C$3,'Não Apagar'!$C$4,'Não Apagar'!$C$5,'Não Apagar'!$C$6,'Não Apagar'!$C$7,'Não Apagar'!$C$8,'Não Apagar'!$C$9)</f>
        <v>Sexta-feira</v>
      </c>
      <c r="E17" s="37"/>
      <c r="F17" s="37"/>
      <c r="G17" s="37"/>
      <c r="H17" s="37"/>
      <c r="I17" s="27">
        <f t="shared" si="0"/>
        <v>0</v>
      </c>
      <c r="J17" s="27">
        <f>MAX(0,MIN(I17,'Não Apagar'!$J$3))</f>
        <v>0</v>
      </c>
      <c r="K17" s="38">
        <f>MAX(0,I17-'Não Apagar'!$J$3)</f>
        <v>0</v>
      </c>
      <c r="L17" s="29">
        <f t="shared" si="2"/>
        <v>0</v>
      </c>
      <c r="P17" s="6">
        <v>1</v>
      </c>
    </row>
    <row r="18" spans="1:16" x14ac:dyDescent="0.25">
      <c r="A18" s="6">
        <v>1</v>
      </c>
      <c r="C18" s="14">
        <f t="shared" si="1"/>
        <v>45752</v>
      </c>
      <c r="D18" s="15" t="str">
        <f>CHOOSE(WEEKDAY(C18,2),'Não Apagar'!$C$3,'Não Apagar'!$C$4,'Não Apagar'!$C$5,'Não Apagar'!$C$6,'Não Apagar'!$C$7,'Não Apagar'!$C$8,'Não Apagar'!$C$9)</f>
        <v>Sábado</v>
      </c>
      <c r="E18" s="16"/>
      <c r="F18" s="16"/>
      <c r="G18" s="16"/>
      <c r="H18" s="16"/>
      <c r="I18" s="23"/>
      <c r="J18" s="23"/>
      <c r="K18" s="23"/>
      <c r="L18" s="25"/>
      <c r="P18" s="6">
        <v>1</v>
      </c>
    </row>
    <row r="19" spans="1:16" x14ac:dyDescent="0.25">
      <c r="A19" s="6">
        <v>1</v>
      </c>
      <c r="C19" s="14">
        <f t="shared" si="1"/>
        <v>45753</v>
      </c>
      <c r="D19" s="15" t="str">
        <f>CHOOSE(WEEKDAY(C19,2),'Não Apagar'!$C$3,'Não Apagar'!$C$4,'Não Apagar'!$C$5,'Não Apagar'!$C$6,'Não Apagar'!$C$7,'Não Apagar'!$C$8,'Não Apagar'!$C$9)</f>
        <v>Domingo</v>
      </c>
      <c r="E19" s="16"/>
      <c r="F19" s="16"/>
      <c r="G19" s="16"/>
      <c r="H19" s="16"/>
      <c r="I19" s="23"/>
      <c r="J19" s="23"/>
      <c r="K19" s="23"/>
      <c r="L19" s="25"/>
      <c r="P19" s="6">
        <v>1</v>
      </c>
    </row>
    <row r="20" spans="1:16" x14ac:dyDescent="0.25">
      <c r="A20" s="6">
        <v>1</v>
      </c>
      <c r="C20" s="33">
        <f t="shared" si="1"/>
        <v>45754</v>
      </c>
      <c r="D20" s="34" t="str">
        <f>CHOOSE(WEEKDAY(C20,2),'Não Apagar'!$C$3,'Não Apagar'!$C$4,'Não Apagar'!$C$5,'Não Apagar'!$C$6,'Não Apagar'!$C$7,'Não Apagar'!$C$8,'Não Apagar'!$C$9)</f>
        <v>Segunda-feira</v>
      </c>
      <c r="E20" s="35"/>
      <c r="F20" s="35"/>
      <c r="G20" s="35"/>
      <c r="H20" s="35"/>
      <c r="I20" s="27">
        <f t="shared" si="0"/>
        <v>0</v>
      </c>
      <c r="J20" s="27">
        <f>MAX(0,MIN(I20,'Não Apagar'!$J$3))</f>
        <v>0</v>
      </c>
      <c r="K20" s="38">
        <f>MAX(0,I20-'Não Apagar'!$J$3)</f>
        <v>0</v>
      </c>
      <c r="L20" s="29">
        <f>L17+K20</f>
        <v>0</v>
      </c>
      <c r="P20" s="6">
        <v>1</v>
      </c>
    </row>
    <row r="21" spans="1:16" x14ac:dyDescent="0.25">
      <c r="A21" s="6">
        <v>1</v>
      </c>
      <c r="C21" s="33">
        <f t="shared" si="1"/>
        <v>45755</v>
      </c>
      <c r="D21" s="34" t="str">
        <f>CHOOSE(WEEKDAY(C21,2),'Não Apagar'!$C$3,'Não Apagar'!$C$4,'Não Apagar'!$C$5,'Não Apagar'!$C$6,'Não Apagar'!$C$7,'Não Apagar'!$C$8,'Não Apagar'!$C$9)</f>
        <v>Terça-feira</v>
      </c>
      <c r="E21" s="35"/>
      <c r="F21" s="35"/>
      <c r="G21" s="35"/>
      <c r="H21" s="35"/>
      <c r="I21" s="27">
        <f t="shared" si="0"/>
        <v>0</v>
      </c>
      <c r="J21" s="27">
        <f>MAX(0,MIN(I21,'Não Apagar'!$J$3))</f>
        <v>0</v>
      </c>
      <c r="K21" s="38">
        <f>MAX(0,I21-'Não Apagar'!$J$3)</f>
        <v>0</v>
      </c>
      <c r="L21" s="29">
        <f>L20+K21</f>
        <v>0</v>
      </c>
      <c r="P21" s="6">
        <v>1</v>
      </c>
    </row>
    <row r="22" spans="1:16" x14ac:dyDescent="0.25">
      <c r="A22" s="6">
        <v>1</v>
      </c>
      <c r="C22" s="33">
        <f t="shared" si="1"/>
        <v>45756</v>
      </c>
      <c r="D22" s="34" t="str">
        <f>CHOOSE(WEEKDAY(C22,2),'Não Apagar'!$C$3,'Não Apagar'!$C$4,'Não Apagar'!$C$5,'Não Apagar'!$C$6,'Não Apagar'!$C$7,'Não Apagar'!$C$8,'Não Apagar'!$C$9)</f>
        <v>Quarta-feira</v>
      </c>
      <c r="E22" s="37"/>
      <c r="F22" s="37"/>
      <c r="G22" s="37"/>
      <c r="H22" s="37"/>
      <c r="I22" s="27">
        <f t="shared" si="0"/>
        <v>0</v>
      </c>
      <c r="J22" s="27">
        <f>MAX(0,MIN(I22,'Não Apagar'!$J$3))</f>
        <v>0</v>
      </c>
      <c r="K22" s="38">
        <f>MAX(0,I22-'Não Apagar'!$J$3)</f>
        <v>0</v>
      </c>
      <c r="L22" s="29">
        <f t="shared" ref="L22:L24" si="3">L21+K22</f>
        <v>0</v>
      </c>
      <c r="P22" s="6">
        <v>1</v>
      </c>
    </row>
    <row r="23" spans="1:16" x14ac:dyDescent="0.25">
      <c r="A23" s="6">
        <v>1</v>
      </c>
      <c r="C23" s="33">
        <f t="shared" si="1"/>
        <v>45757</v>
      </c>
      <c r="D23" s="34" t="str">
        <f>CHOOSE(WEEKDAY(C23,2),'Não Apagar'!$C$3,'Não Apagar'!$C$4,'Não Apagar'!$C$5,'Não Apagar'!$C$6,'Não Apagar'!$C$7,'Não Apagar'!$C$8,'Não Apagar'!$C$9)</f>
        <v>Segunda-feira</v>
      </c>
      <c r="E23" s="37"/>
      <c r="F23" s="37"/>
      <c r="G23" s="37"/>
      <c r="H23" s="37"/>
      <c r="I23" s="27">
        <f t="shared" si="0"/>
        <v>0</v>
      </c>
      <c r="J23" s="27">
        <f>MAX(0,MIN(I23,'Não Apagar'!$J$3))</f>
        <v>0</v>
      </c>
      <c r="K23" s="38">
        <f>MAX(0,I23-'Não Apagar'!$J$3)</f>
        <v>0</v>
      </c>
      <c r="L23" s="29">
        <f t="shared" si="3"/>
        <v>0</v>
      </c>
      <c r="P23" s="6">
        <v>1</v>
      </c>
    </row>
    <row r="24" spans="1:16" x14ac:dyDescent="0.25">
      <c r="A24" s="6">
        <v>1</v>
      </c>
      <c r="C24" s="33">
        <f t="shared" si="1"/>
        <v>45758</v>
      </c>
      <c r="D24" s="34" t="str">
        <f>CHOOSE(WEEKDAY(C24,2),'Não Apagar'!$C$3,'Não Apagar'!$C$4,'Não Apagar'!$C$5,'Não Apagar'!$C$6,'Não Apagar'!$C$7,'Não Apagar'!$C$8,'Não Apagar'!$C$9)</f>
        <v>Sexta-feira</v>
      </c>
      <c r="E24" s="37"/>
      <c r="F24" s="37"/>
      <c r="G24" s="37"/>
      <c r="H24" s="37"/>
      <c r="I24" s="27">
        <f t="shared" si="0"/>
        <v>0</v>
      </c>
      <c r="J24" s="27">
        <f>MAX(0,MIN(I24,'Não Apagar'!$J$3))</f>
        <v>0</v>
      </c>
      <c r="K24" s="38">
        <f>MAX(0,I24-'Não Apagar'!$J$3)</f>
        <v>0</v>
      </c>
      <c r="L24" s="29">
        <f t="shared" si="3"/>
        <v>0</v>
      </c>
      <c r="P24" s="6">
        <v>1</v>
      </c>
    </row>
    <row r="25" spans="1:16" x14ac:dyDescent="0.25">
      <c r="A25" s="6">
        <v>1</v>
      </c>
      <c r="C25" s="14">
        <f t="shared" si="1"/>
        <v>45759</v>
      </c>
      <c r="D25" s="15" t="str">
        <f>CHOOSE(WEEKDAY(C25,2),'Não Apagar'!$C$3,'Não Apagar'!$C$4,'Não Apagar'!$C$5,'Não Apagar'!$C$6,'Não Apagar'!$C$7,'Não Apagar'!$C$8,'Não Apagar'!$C$9)</f>
        <v>Sábado</v>
      </c>
      <c r="E25" s="16"/>
      <c r="F25" s="16"/>
      <c r="G25" s="16"/>
      <c r="H25" s="16"/>
      <c r="I25" s="23"/>
      <c r="J25" s="23"/>
      <c r="K25" s="23"/>
      <c r="L25" s="25"/>
      <c r="P25" s="6">
        <v>1</v>
      </c>
    </row>
    <row r="26" spans="1:16" x14ac:dyDescent="0.25">
      <c r="A26" s="6">
        <v>1</v>
      </c>
      <c r="C26" s="14">
        <f t="shared" si="1"/>
        <v>45760</v>
      </c>
      <c r="D26" s="15" t="str">
        <f>CHOOSE(WEEKDAY(C26,2),'Não Apagar'!$C$3,'Não Apagar'!$C$4,'Não Apagar'!$C$5,'Não Apagar'!$C$6,'Não Apagar'!$C$7,'Não Apagar'!$C$8,'Não Apagar'!$C$9)</f>
        <v>Domingo</v>
      </c>
      <c r="E26" s="16"/>
      <c r="F26" s="16"/>
      <c r="G26" s="16"/>
      <c r="H26" s="16"/>
      <c r="I26" s="23"/>
      <c r="J26" s="23"/>
      <c r="K26" s="23"/>
      <c r="L26" s="25"/>
      <c r="P26" s="6">
        <v>1</v>
      </c>
    </row>
    <row r="27" spans="1:16" x14ac:dyDescent="0.25">
      <c r="A27" s="6">
        <v>1</v>
      </c>
      <c r="C27" s="33">
        <f t="shared" si="1"/>
        <v>45761</v>
      </c>
      <c r="D27" s="34" t="str">
        <f>CHOOSE(WEEKDAY(C27,2),'Não Apagar'!$C$3,'Não Apagar'!$C$4,'Não Apagar'!$C$5,'Não Apagar'!$C$6,'Não Apagar'!$C$7,'Não Apagar'!$C$8,'Não Apagar'!$C$9)</f>
        <v>Segunda-feira</v>
      </c>
      <c r="E27" s="35"/>
      <c r="F27" s="35"/>
      <c r="G27" s="35"/>
      <c r="H27" s="35"/>
      <c r="I27" s="27">
        <f t="shared" si="0"/>
        <v>0</v>
      </c>
      <c r="J27" s="27">
        <f>MAX(0,MIN(I27,'Não Apagar'!$J$3))</f>
        <v>0</v>
      </c>
      <c r="K27" s="38">
        <f>MAX(0,I27-'Não Apagar'!$J$3)</f>
        <v>0</v>
      </c>
      <c r="L27" s="29">
        <f>L24+K27</f>
        <v>0</v>
      </c>
      <c r="P27" s="6">
        <v>1</v>
      </c>
    </row>
    <row r="28" spans="1:16" x14ac:dyDescent="0.25">
      <c r="A28" s="6">
        <v>1</v>
      </c>
      <c r="C28" s="33">
        <f t="shared" si="1"/>
        <v>45762</v>
      </c>
      <c r="D28" s="34" t="str">
        <f>CHOOSE(WEEKDAY(C28,2),'Não Apagar'!$C$3,'Não Apagar'!$C$4,'Não Apagar'!$C$5,'Não Apagar'!$C$6,'Não Apagar'!$C$7,'Não Apagar'!$C$8,'Não Apagar'!$C$9)</f>
        <v>Terça-feira</v>
      </c>
      <c r="E28" s="35"/>
      <c r="F28" s="35"/>
      <c r="G28" s="35"/>
      <c r="H28" s="35"/>
      <c r="I28" s="27">
        <f t="shared" si="0"/>
        <v>0</v>
      </c>
      <c r="J28" s="27">
        <f>MAX(0,MIN(I28,'Não Apagar'!$J$3))</f>
        <v>0</v>
      </c>
      <c r="K28" s="38">
        <f>MAX(0,I28-'Não Apagar'!$J$3)</f>
        <v>0</v>
      </c>
      <c r="L28" s="29">
        <f>L27+K28</f>
        <v>0</v>
      </c>
      <c r="P28" s="6">
        <v>1</v>
      </c>
    </row>
    <row r="29" spans="1:16" x14ac:dyDescent="0.25">
      <c r="A29" s="6">
        <v>1</v>
      </c>
      <c r="C29" s="33">
        <f t="shared" si="1"/>
        <v>45763</v>
      </c>
      <c r="D29" s="34" t="str">
        <f>CHOOSE(WEEKDAY(C29,2),'Não Apagar'!$C$3,'Não Apagar'!$C$4,'Não Apagar'!$C$5,'Não Apagar'!$C$6,'Não Apagar'!$C$7,'Não Apagar'!$C$8,'Não Apagar'!$C$9)</f>
        <v>Quarta-feira</v>
      </c>
      <c r="E29" s="37"/>
      <c r="F29" s="37"/>
      <c r="G29" s="37"/>
      <c r="H29" s="37"/>
      <c r="I29" s="27">
        <f t="shared" si="0"/>
        <v>0</v>
      </c>
      <c r="J29" s="27">
        <f>MAX(0,MIN(I29,'Não Apagar'!$J$3))</f>
        <v>0</v>
      </c>
      <c r="K29" s="38">
        <f>MAX(0,I29-'Não Apagar'!$J$3)</f>
        <v>0</v>
      </c>
      <c r="L29" s="29">
        <f t="shared" ref="L29:L31" si="4">L28+K29</f>
        <v>0</v>
      </c>
      <c r="P29" s="6">
        <v>1</v>
      </c>
    </row>
    <row r="30" spans="1:16" x14ac:dyDescent="0.25">
      <c r="A30" s="6">
        <v>1</v>
      </c>
      <c r="C30" s="33">
        <f t="shared" si="1"/>
        <v>45764</v>
      </c>
      <c r="D30" s="34" t="str">
        <f>CHOOSE(WEEKDAY(C30,2),'Não Apagar'!$C$3,'Não Apagar'!$C$4,'Não Apagar'!$C$5,'Não Apagar'!$C$6,'Não Apagar'!$C$7,'Não Apagar'!$C$8,'Não Apagar'!$C$9)</f>
        <v>Segunda-feira</v>
      </c>
      <c r="E30" s="37"/>
      <c r="F30" s="37"/>
      <c r="G30" s="37"/>
      <c r="H30" s="37"/>
      <c r="I30" s="27">
        <f t="shared" si="0"/>
        <v>0</v>
      </c>
      <c r="J30" s="27">
        <f>MAX(0,MIN(I30,'Não Apagar'!$J$3))</f>
        <v>0</v>
      </c>
      <c r="K30" s="38">
        <f>MAX(0,I30-'Não Apagar'!$J$3)</f>
        <v>0</v>
      </c>
      <c r="L30" s="29">
        <f t="shared" si="4"/>
        <v>0</v>
      </c>
      <c r="P30" s="6">
        <v>1</v>
      </c>
    </row>
    <row r="31" spans="1:16" x14ac:dyDescent="0.25">
      <c r="A31" s="6">
        <v>1</v>
      </c>
      <c r="C31" s="33">
        <f t="shared" si="1"/>
        <v>45765</v>
      </c>
      <c r="D31" s="34" t="str">
        <f>CHOOSE(WEEKDAY(C31,2),'Não Apagar'!$C$3,'Não Apagar'!$C$4,'Não Apagar'!$C$5,'Não Apagar'!$C$6,'Não Apagar'!$C$7,'Não Apagar'!$C$8,'Não Apagar'!$C$9)</f>
        <v>Sexta-feira</v>
      </c>
      <c r="E31" s="37"/>
      <c r="F31" s="37"/>
      <c r="G31" s="37"/>
      <c r="H31" s="37"/>
      <c r="I31" s="27">
        <f t="shared" si="0"/>
        <v>0</v>
      </c>
      <c r="J31" s="27">
        <f>MAX(0,MIN(I31,'Não Apagar'!$J$3))</f>
        <v>0</v>
      </c>
      <c r="K31" s="38">
        <f>MAX(0,I31-'Não Apagar'!$J$3)</f>
        <v>0</v>
      </c>
      <c r="L31" s="29">
        <f t="shared" si="4"/>
        <v>0</v>
      </c>
      <c r="P31" s="6">
        <v>1</v>
      </c>
    </row>
    <row r="32" spans="1:16" x14ac:dyDescent="0.25">
      <c r="A32" s="6">
        <v>1</v>
      </c>
      <c r="C32" s="14">
        <f t="shared" si="1"/>
        <v>45766</v>
      </c>
      <c r="D32" s="15" t="str">
        <f>CHOOSE(WEEKDAY(C32,2),'Não Apagar'!$C$3,'Não Apagar'!$C$4,'Não Apagar'!$C$5,'Não Apagar'!$C$6,'Não Apagar'!$C$7,'Não Apagar'!$C$8,'Não Apagar'!$C$9)</f>
        <v>Sábado</v>
      </c>
      <c r="E32" s="16"/>
      <c r="F32" s="16"/>
      <c r="G32" s="16"/>
      <c r="H32" s="16"/>
      <c r="I32" s="23"/>
      <c r="J32" s="23"/>
      <c r="K32" s="23"/>
      <c r="L32" s="25"/>
      <c r="P32" s="6">
        <v>1</v>
      </c>
    </row>
    <row r="33" spans="1:16" x14ac:dyDescent="0.25">
      <c r="A33" s="6">
        <v>1</v>
      </c>
      <c r="C33" s="14">
        <f t="shared" si="1"/>
        <v>45767</v>
      </c>
      <c r="D33" s="15" t="str">
        <f>CHOOSE(WEEKDAY(C33,2),'Não Apagar'!$C$3,'Não Apagar'!$C$4,'Não Apagar'!$C$5,'Não Apagar'!$C$6,'Não Apagar'!$C$7,'Não Apagar'!$C$8,'Não Apagar'!$C$9)</f>
        <v>Domingo</v>
      </c>
      <c r="E33" s="16"/>
      <c r="F33" s="16"/>
      <c r="G33" s="16"/>
      <c r="H33" s="16"/>
      <c r="I33" s="23"/>
      <c r="J33" s="23"/>
      <c r="K33" s="23"/>
      <c r="L33" s="25"/>
      <c r="P33" s="6">
        <v>1</v>
      </c>
    </row>
    <row r="34" spans="1:16" x14ac:dyDescent="0.25">
      <c r="A34" s="6">
        <v>1</v>
      </c>
      <c r="C34" s="33">
        <f t="shared" si="1"/>
        <v>45768</v>
      </c>
      <c r="D34" s="34" t="str">
        <f>CHOOSE(WEEKDAY(C34,2),'Não Apagar'!$C$3,'Não Apagar'!$C$4,'Não Apagar'!$C$5,'Não Apagar'!$C$6,'Não Apagar'!$C$7,'Não Apagar'!$C$8,'Não Apagar'!$C$9)</f>
        <v>Segunda-feira</v>
      </c>
      <c r="E34" s="35"/>
      <c r="F34" s="35"/>
      <c r="G34" s="35"/>
      <c r="H34" s="35"/>
      <c r="I34" s="27">
        <f t="shared" si="0"/>
        <v>0</v>
      </c>
      <c r="J34" s="27">
        <f>MAX(0,MIN(I34,'Não Apagar'!$J$3))</f>
        <v>0</v>
      </c>
      <c r="K34" s="38">
        <f>MAX(0,I34-'Não Apagar'!$J$3)</f>
        <v>0</v>
      </c>
      <c r="L34" s="29">
        <f>L31+K34</f>
        <v>0</v>
      </c>
      <c r="P34" s="6">
        <v>1</v>
      </c>
    </row>
    <row r="35" spans="1:16" x14ac:dyDescent="0.25">
      <c r="A35" s="6">
        <v>1</v>
      </c>
      <c r="C35" s="33">
        <f t="shared" si="1"/>
        <v>45769</v>
      </c>
      <c r="D35" s="34" t="str">
        <f>CHOOSE(WEEKDAY(C35,2),'Não Apagar'!$C$3,'Não Apagar'!$C$4,'Não Apagar'!$C$5,'Não Apagar'!$C$6,'Não Apagar'!$C$7,'Não Apagar'!$C$8,'Não Apagar'!$C$9)</f>
        <v>Terça-feira</v>
      </c>
      <c r="E35" s="35"/>
      <c r="F35" s="35"/>
      <c r="G35" s="35"/>
      <c r="H35" s="35"/>
      <c r="I35" s="27">
        <f t="shared" si="0"/>
        <v>0</v>
      </c>
      <c r="J35" s="27">
        <f>MAX(0,MIN(I35,'Não Apagar'!$J$3))</f>
        <v>0</v>
      </c>
      <c r="K35" s="38">
        <f>MAX(0,I35-'Não Apagar'!$J$3)</f>
        <v>0</v>
      </c>
      <c r="L35" s="29">
        <f>L34+K35</f>
        <v>0</v>
      </c>
      <c r="P35" s="6">
        <v>1</v>
      </c>
    </row>
    <row r="36" spans="1:16" x14ac:dyDescent="0.25">
      <c r="A36" s="6">
        <v>1</v>
      </c>
      <c r="C36" s="33">
        <f t="shared" si="1"/>
        <v>45770</v>
      </c>
      <c r="D36" s="34" t="str">
        <f>CHOOSE(WEEKDAY(C36,2),'Não Apagar'!$C$3,'Não Apagar'!$C$4,'Não Apagar'!$C$5,'Não Apagar'!$C$6,'Não Apagar'!$C$7,'Não Apagar'!$C$8,'Não Apagar'!$C$9)</f>
        <v>Quarta-feira</v>
      </c>
      <c r="E36" s="37"/>
      <c r="F36" s="37"/>
      <c r="G36" s="37"/>
      <c r="H36" s="37"/>
      <c r="I36" s="27">
        <f t="shared" si="0"/>
        <v>0</v>
      </c>
      <c r="J36" s="27">
        <f>MAX(0,MIN(I36,'Não Apagar'!$J$3))</f>
        <v>0</v>
      </c>
      <c r="K36" s="38">
        <f>MAX(0,I36-'Não Apagar'!$J$3)</f>
        <v>0</v>
      </c>
      <c r="L36" s="29">
        <f t="shared" ref="L36:L38" si="5">L35+K36</f>
        <v>0</v>
      </c>
      <c r="P36" s="6">
        <v>1</v>
      </c>
    </row>
    <row r="37" spans="1:16" x14ac:dyDescent="0.25">
      <c r="A37" s="6">
        <v>1</v>
      </c>
      <c r="C37" s="33">
        <f t="shared" si="1"/>
        <v>45771</v>
      </c>
      <c r="D37" s="34" t="str">
        <f>CHOOSE(WEEKDAY(C37,2),'Não Apagar'!$C$3,'Não Apagar'!$C$4,'Não Apagar'!$C$5,'Não Apagar'!$C$6,'Não Apagar'!$C$7,'Não Apagar'!$C$8,'Não Apagar'!$C$9)</f>
        <v>Segunda-feira</v>
      </c>
      <c r="E37" s="37"/>
      <c r="F37" s="37"/>
      <c r="G37" s="37"/>
      <c r="H37" s="37"/>
      <c r="I37" s="27">
        <f t="shared" si="0"/>
        <v>0</v>
      </c>
      <c r="J37" s="27">
        <f>MAX(0,MIN(I37,'Não Apagar'!$J$3))</f>
        <v>0</v>
      </c>
      <c r="K37" s="38">
        <f>MAX(0,I37-'Não Apagar'!$J$3)</f>
        <v>0</v>
      </c>
      <c r="L37" s="29">
        <f t="shared" si="5"/>
        <v>0</v>
      </c>
      <c r="P37" s="6">
        <v>1</v>
      </c>
    </row>
    <row r="38" spans="1:16" x14ac:dyDescent="0.25">
      <c r="A38" s="6">
        <v>1</v>
      </c>
      <c r="C38" s="33">
        <f t="shared" si="1"/>
        <v>45772</v>
      </c>
      <c r="D38" s="34" t="str">
        <f>CHOOSE(WEEKDAY(C38,2),'Não Apagar'!$C$3,'Não Apagar'!$C$4,'Não Apagar'!$C$5,'Não Apagar'!$C$6,'Não Apagar'!$C$7,'Não Apagar'!$C$8,'Não Apagar'!$C$9)</f>
        <v>Sexta-feira</v>
      </c>
      <c r="E38" s="37"/>
      <c r="F38" s="37"/>
      <c r="G38" s="37"/>
      <c r="H38" s="37"/>
      <c r="I38" s="27">
        <f t="shared" si="0"/>
        <v>0</v>
      </c>
      <c r="J38" s="27">
        <f>MAX(0,MIN(I38,'Não Apagar'!$J$3))</f>
        <v>0</v>
      </c>
      <c r="K38" s="38">
        <f>MAX(0,I38-'Não Apagar'!$J$3)</f>
        <v>0</v>
      </c>
      <c r="L38" s="29">
        <f t="shared" si="5"/>
        <v>0</v>
      </c>
      <c r="P38" s="6">
        <v>1</v>
      </c>
    </row>
    <row r="39" spans="1:16" x14ac:dyDescent="0.25">
      <c r="A39" s="6">
        <v>1</v>
      </c>
      <c r="C39" s="14">
        <f t="shared" si="1"/>
        <v>45773</v>
      </c>
      <c r="D39" s="15" t="str">
        <f>CHOOSE(WEEKDAY(C39,2),'Não Apagar'!$C$3,'Não Apagar'!$C$4,'Não Apagar'!$C$5,'Não Apagar'!$C$6,'Não Apagar'!$C$7,'Não Apagar'!$C$8,'Não Apagar'!$C$9)</f>
        <v>Sábado</v>
      </c>
      <c r="E39" s="16"/>
      <c r="F39" s="16"/>
      <c r="G39" s="16"/>
      <c r="H39" s="16"/>
      <c r="I39" s="23"/>
      <c r="J39" s="23"/>
      <c r="K39" s="23"/>
      <c r="L39" s="25"/>
      <c r="P39" s="6">
        <v>1</v>
      </c>
    </row>
    <row r="40" spans="1:16" x14ac:dyDescent="0.25">
      <c r="A40" s="6">
        <v>1</v>
      </c>
      <c r="C40" s="14">
        <f t="shared" si="1"/>
        <v>45774</v>
      </c>
      <c r="D40" s="15" t="str">
        <f>CHOOSE(WEEKDAY(C40,2),'Não Apagar'!$C$3,'Não Apagar'!$C$4,'Não Apagar'!$C$5,'Não Apagar'!$C$6,'Não Apagar'!$C$7,'Não Apagar'!$C$8,'Não Apagar'!$C$9)</f>
        <v>Domingo</v>
      </c>
      <c r="E40" s="16"/>
      <c r="F40" s="16"/>
      <c r="G40" s="16"/>
      <c r="H40" s="16"/>
      <c r="I40" s="23"/>
      <c r="J40" s="23"/>
      <c r="K40" s="23"/>
      <c r="L40" s="25"/>
      <c r="P40" s="6">
        <v>1</v>
      </c>
    </row>
    <row r="41" spans="1:16" x14ac:dyDescent="0.25">
      <c r="A41" s="6">
        <v>1</v>
      </c>
      <c r="C41" s="33">
        <f t="shared" si="1"/>
        <v>45775</v>
      </c>
      <c r="D41" s="34" t="str">
        <f>CHOOSE(WEEKDAY(C41,2),'Não Apagar'!$C$3,'Não Apagar'!$C$4,'Não Apagar'!$C$5,'Não Apagar'!$C$6,'Não Apagar'!$C$7,'Não Apagar'!$C$8,'Não Apagar'!$C$9)</f>
        <v>Segunda-feira</v>
      </c>
      <c r="E41" s="35"/>
      <c r="F41" s="35"/>
      <c r="G41" s="35"/>
      <c r="H41" s="35"/>
      <c r="I41" s="27">
        <f t="shared" si="0"/>
        <v>0</v>
      </c>
      <c r="J41" s="27">
        <f>MAX(0,MIN(I41,'Não Apagar'!$J$3))</f>
        <v>0</v>
      </c>
      <c r="K41" s="38">
        <f>MAX(0,I41-'Não Apagar'!$J$3)</f>
        <v>0</v>
      </c>
      <c r="L41" s="29">
        <f>L38+K41</f>
        <v>0</v>
      </c>
      <c r="P41" s="6">
        <v>1</v>
      </c>
    </row>
    <row r="42" spans="1:16" x14ac:dyDescent="0.25">
      <c r="A42" s="6">
        <v>1</v>
      </c>
      <c r="C42" s="33">
        <f t="shared" si="1"/>
        <v>45776</v>
      </c>
      <c r="D42" s="34" t="str">
        <f>CHOOSE(WEEKDAY(C42,2),'Não Apagar'!$C$3,'Não Apagar'!$C$4,'Não Apagar'!$C$5,'Não Apagar'!$C$6,'Não Apagar'!$C$7,'Não Apagar'!$C$8,'Não Apagar'!$C$9)</f>
        <v>Terça-feira</v>
      </c>
      <c r="E42" s="35"/>
      <c r="F42" s="35"/>
      <c r="G42" s="35"/>
      <c r="H42" s="35"/>
      <c r="I42" s="27">
        <f t="shared" si="0"/>
        <v>0</v>
      </c>
      <c r="J42" s="27">
        <f>MAX(0,MIN(I42,'Não Apagar'!$J$3))</f>
        <v>0</v>
      </c>
      <c r="K42" s="38">
        <f>MAX(0,I42-'Não Apagar'!$J$3)</f>
        <v>0</v>
      </c>
      <c r="L42" s="29">
        <f>L41+K42</f>
        <v>0</v>
      </c>
      <c r="P42" s="6">
        <v>1</v>
      </c>
    </row>
    <row r="43" spans="1:16" x14ac:dyDescent="0.25">
      <c r="A43" s="6">
        <v>1</v>
      </c>
      <c r="C43" s="33">
        <f t="shared" si="1"/>
        <v>45777</v>
      </c>
      <c r="D43" s="34" t="str">
        <f>CHOOSE(WEEKDAY(C43,2),'Não Apagar'!$C$3,'Não Apagar'!$C$4,'Não Apagar'!$C$5,'Não Apagar'!$C$6,'Não Apagar'!$C$7,'Não Apagar'!$C$8,'Não Apagar'!$C$9)</f>
        <v>Quarta-feira</v>
      </c>
      <c r="E43" s="35"/>
      <c r="F43" s="35"/>
      <c r="G43" s="35"/>
      <c r="H43" s="35"/>
      <c r="I43" s="27">
        <f t="shared" si="0"/>
        <v>0</v>
      </c>
      <c r="J43" s="27">
        <f>MAX(0,MIN(I43,'Não Apagar'!$J$3))</f>
        <v>0</v>
      </c>
      <c r="K43" s="38">
        <f>MAX(0,I43-'Não Apagar'!$J$3)</f>
        <v>0</v>
      </c>
      <c r="L43" s="29">
        <f t="shared" ref="L43" si="6">L42+K43</f>
        <v>0</v>
      </c>
      <c r="P43" s="6">
        <v>1</v>
      </c>
    </row>
    <row r="44" spans="1:16" x14ac:dyDescent="0.25">
      <c r="A44" s="6">
        <v>1</v>
      </c>
      <c r="C44" s="33"/>
      <c r="D44" s="34"/>
      <c r="E44" s="35"/>
      <c r="F44" s="35"/>
      <c r="G44" s="35"/>
      <c r="H44" s="35"/>
      <c r="I44" s="27"/>
      <c r="J44" s="27"/>
      <c r="K44" s="28"/>
      <c r="L44" s="36"/>
      <c r="P44" s="6">
        <v>1</v>
      </c>
    </row>
    <row r="45" spans="1:16" x14ac:dyDescent="0.25">
      <c r="A45" s="6">
        <v>1</v>
      </c>
      <c r="P45" s="6">
        <v>1</v>
      </c>
    </row>
    <row r="46" spans="1:16" x14ac:dyDescent="0.25">
      <c r="A46" s="6">
        <v>1</v>
      </c>
      <c r="J46" s="30" t="s">
        <v>19</v>
      </c>
      <c r="K46" s="31"/>
      <c r="L46" s="32">
        <f>IFERROR(INDEX(L14:L43,MATCH(9^9,H14:H43)),Mar.25!L45)</f>
        <v>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22"/>
      <c r="F53" s="22"/>
      <c r="G53" s="22"/>
      <c r="H53" s="22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P62"/>
  <sheetViews>
    <sheetView showGridLines="0" topLeftCell="A10" zoomScale="85" zoomScaleNormal="85" workbookViewId="0">
      <selection activeCell="L46" sqref="L46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25" style="2" customWidth="1"/>
    <col min="11" max="11" width="22" style="2" customWidth="1"/>
    <col min="12" max="12" width="31.8867187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25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/>
      <c r="D13" s="15"/>
      <c r="E13" s="16"/>
      <c r="F13" s="16"/>
      <c r="G13" s="16"/>
      <c r="H13" s="16"/>
      <c r="I13" s="23"/>
      <c r="J13" s="23"/>
      <c r="K13" s="24"/>
      <c r="L13" s="25"/>
      <c r="P13" s="6">
        <v>1</v>
      </c>
    </row>
    <row r="14" spans="1:16" x14ac:dyDescent="0.25">
      <c r="A14" s="6">
        <v>1</v>
      </c>
      <c r="C14" s="17">
        <v>45778</v>
      </c>
      <c r="D14" s="18" t="str">
        <f>CHOOSE(WEEKDAY(C14,2),'Não Apagar'!$C$3,'Não Apagar'!$C$4,'Não Apagar'!$C$5,'Não Apagar'!$C$6,'Não Apagar'!$C$7,'Não Apagar'!$C$8,'Não Apagar'!$C$9)</f>
        <v>Segunda-feira</v>
      </c>
      <c r="E14" s="19"/>
      <c r="F14" s="19"/>
      <c r="G14" s="19"/>
      <c r="H14" s="19"/>
      <c r="I14" s="26">
        <f t="shared" ref="I14:I43" si="0">((H14-E14)-(G14-F14))*24</f>
        <v>0</v>
      </c>
      <c r="J14" s="26">
        <f>MAX(0,MIN(I14,'Não Apagar'!$J$3))</f>
        <v>0</v>
      </c>
      <c r="K14" s="38">
        <f>MAX(0,I14-'Não Apagar'!$J$3)</f>
        <v>0</v>
      </c>
      <c r="L14" s="29">
        <f>K14+Abr.25!L46</f>
        <v>0</v>
      </c>
      <c r="P14" s="6">
        <v>1</v>
      </c>
    </row>
    <row r="15" spans="1:16" x14ac:dyDescent="0.25">
      <c r="A15" s="6">
        <v>1</v>
      </c>
      <c r="C15" s="17">
        <f t="shared" ref="C15:C44" si="1">C14+1</f>
        <v>45779</v>
      </c>
      <c r="D15" s="18" t="str">
        <f>CHOOSE(WEEKDAY(C15,2),'Não Apagar'!$C$3,'Não Apagar'!$C$4,'Não Apagar'!$C$5,'Não Apagar'!$C$6,'Não Apagar'!$C$7,'Não Apagar'!$C$8,'Não Apagar'!$C$9)</f>
        <v>Sexta-feira</v>
      </c>
      <c r="E15" s="20"/>
      <c r="F15" s="20"/>
      <c r="G15" s="20"/>
      <c r="H15" s="20"/>
      <c r="I15" s="26">
        <f t="shared" si="0"/>
        <v>0</v>
      </c>
      <c r="J15" s="26">
        <f>MAX(0,MIN(I15,'Não Apagar'!$J$3))</f>
        <v>0</v>
      </c>
      <c r="K15" s="38">
        <f>MAX(0,I15-'Não Apagar'!$J$3)</f>
        <v>0</v>
      </c>
      <c r="L15" s="29">
        <f t="shared" ref="L15" si="2">L14+K15</f>
        <v>0</v>
      </c>
      <c r="P15" s="6">
        <v>1</v>
      </c>
    </row>
    <row r="16" spans="1:16" x14ac:dyDescent="0.25">
      <c r="A16" s="6">
        <v>1</v>
      </c>
      <c r="C16" s="14">
        <f t="shared" si="1"/>
        <v>45780</v>
      </c>
      <c r="D16" s="15" t="str">
        <f>CHOOSE(WEEKDAY(C16,2),'Não Apagar'!$C$3,'Não Apagar'!$C$4,'Não Apagar'!$C$5,'Não Apagar'!$C$6,'Não Apagar'!$C$7,'Não Apagar'!$C$8,'Não Apagar'!$C$9)</f>
        <v>Sábado</v>
      </c>
      <c r="E16" s="16"/>
      <c r="F16" s="16"/>
      <c r="G16" s="16"/>
      <c r="H16" s="16"/>
      <c r="I16" s="23"/>
      <c r="J16" s="23"/>
      <c r="K16" s="24"/>
      <c r="L16" s="25"/>
      <c r="P16" s="6">
        <v>1</v>
      </c>
    </row>
    <row r="17" spans="1:16" x14ac:dyDescent="0.25">
      <c r="A17" s="6">
        <v>1</v>
      </c>
      <c r="C17" s="14">
        <f t="shared" si="1"/>
        <v>45781</v>
      </c>
      <c r="D17" s="15" t="str">
        <f>CHOOSE(WEEKDAY(C17,2),'Não Apagar'!$C$3,'Não Apagar'!$C$4,'Não Apagar'!$C$5,'Não Apagar'!$C$6,'Não Apagar'!$C$7,'Não Apagar'!$C$8,'Não Apagar'!$C$9)</f>
        <v>Domingo</v>
      </c>
      <c r="E17" s="16"/>
      <c r="F17" s="16"/>
      <c r="G17" s="16"/>
      <c r="H17" s="16"/>
      <c r="I17" s="23"/>
      <c r="J17" s="23"/>
      <c r="K17" s="24"/>
      <c r="L17" s="25"/>
      <c r="P17" s="6">
        <v>1</v>
      </c>
    </row>
    <row r="18" spans="1:16" x14ac:dyDescent="0.25">
      <c r="A18" s="6">
        <v>1</v>
      </c>
      <c r="C18" s="17">
        <f t="shared" si="1"/>
        <v>45782</v>
      </c>
      <c r="D18" s="18" t="str">
        <f>CHOOSE(WEEKDAY(C18,2),'Não Apagar'!$C$3,'Não Apagar'!$C$4,'Não Apagar'!$C$5,'Não Apagar'!$C$6,'Não Apagar'!$C$7,'Não Apagar'!$C$8,'Não Apagar'!$C$9)</f>
        <v>Segunda-feira</v>
      </c>
      <c r="E18" s="20"/>
      <c r="F18" s="20"/>
      <c r="G18" s="20"/>
      <c r="H18" s="20"/>
      <c r="I18" s="26">
        <f t="shared" si="0"/>
        <v>0</v>
      </c>
      <c r="J18" s="26">
        <f>MAX(0,MIN(I18,'Não Apagar'!$J$3))</f>
        <v>0</v>
      </c>
      <c r="K18" s="38">
        <f>MAX(0,I18-'Não Apagar'!$J$3)</f>
        <v>0</v>
      </c>
      <c r="L18" s="29">
        <f>L15+K18</f>
        <v>0</v>
      </c>
      <c r="P18" s="6">
        <v>1</v>
      </c>
    </row>
    <row r="19" spans="1:16" x14ac:dyDescent="0.25">
      <c r="A19" s="6">
        <v>1</v>
      </c>
      <c r="C19" s="17">
        <f t="shared" si="1"/>
        <v>45783</v>
      </c>
      <c r="D19" s="18" t="str">
        <f>CHOOSE(WEEKDAY(C19,2),'Não Apagar'!$C$3,'Não Apagar'!$C$4,'Não Apagar'!$C$5,'Não Apagar'!$C$6,'Não Apagar'!$C$7,'Não Apagar'!$C$8,'Não Apagar'!$C$9)</f>
        <v>Terça-feira</v>
      </c>
      <c r="E19" s="20"/>
      <c r="F19" s="20"/>
      <c r="G19" s="20"/>
      <c r="H19" s="20"/>
      <c r="I19" s="26">
        <f t="shared" si="0"/>
        <v>0</v>
      </c>
      <c r="J19" s="26">
        <f>MAX(0,MIN(I19,'Não Apagar'!$J$3))</f>
        <v>0</v>
      </c>
      <c r="K19" s="38">
        <f>MAX(0,I19-'Não Apagar'!$J$3)</f>
        <v>0</v>
      </c>
      <c r="L19" s="29">
        <f>L18+K19</f>
        <v>0</v>
      </c>
      <c r="P19" s="6">
        <v>1</v>
      </c>
    </row>
    <row r="20" spans="1:16" x14ac:dyDescent="0.25">
      <c r="A20" s="6">
        <v>1</v>
      </c>
      <c r="C20" s="17">
        <f t="shared" si="1"/>
        <v>45784</v>
      </c>
      <c r="D20" s="18" t="str">
        <f>CHOOSE(WEEKDAY(C20,2),'Não Apagar'!$C$3,'Não Apagar'!$C$4,'Não Apagar'!$C$5,'Não Apagar'!$C$6,'Não Apagar'!$C$7,'Não Apagar'!$C$8,'Não Apagar'!$C$9)</f>
        <v>Quarta-feira</v>
      </c>
      <c r="E20" s="19"/>
      <c r="F20" s="19"/>
      <c r="G20" s="19"/>
      <c r="H20" s="19"/>
      <c r="I20" s="26">
        <f t="shared" si="0"/>
        <v>0</v>
      </c>
      <c r="J20" s="26">
        <f>MAX(0,MIN(I20,'Não Apagar'!$J$3))</f>
        <v>0</v>
      </c>
      <c r="K20" s="38">
        <f>MAX(0,I20-'Não Apagar'!$J$3)</f>
        <v>0</v>
      </c>
      <c r="L20" s="29">
        <f t="shared" ref="L20:L22" si="3">L19+K20</f>
        <v>0</v>
      </c>
      <c r="P20" s="6">
        <v>1</v>
      </c>
    </row>
    <row r="21" spans="1:16" x14ac:dyDescent="0.25">
      <c r="A21" s="6">
        <v>1</v>
      </c>
      <c r="C21" s="17">
        <f t="shared" si="1"/>
        <v>45785</v>
      </c>
      <c r="D21" s="18" t="str">
        <f>CHOOSE(WEEKDAY(C21,2),'Não Apagar'!$C$3,'Não Apagar'!$C$4,'Não Apagar'!$C$5,'Não Apagar'!$C$6,'Não Apagar'!$C$7,'Não Apagar'!$C$8,'Não Apagar'!$C$9)</f>
        <v>Segunda-feira</v>
      </c>
      <c r="E21" s="19"/>
      <c r="F21" s="19"/>
      <c r="G21" s="19"/>
      <c r="H21" s="19"/>
      <c r="I21" s="26">
        <f t="shared" si="0"/>
        <v>0</v>
      </c>
      <c r="J21" s="26">
        <f>MAX(0,MIN(I21,'Não Apagar'!$J$3))</f>
        <v>0</v>
      </c>
      <c r="K21" s="38">
        <f>MAX(0,I21-'Não Apagar'!$J$3)</f>
        <v>0</v>
      </c>
      <c r="L21" s="29">
        <f t="shared" si="3"/>
        <v>0</v>
      </c>
      <c r="P21" s="6">
        <v>1</v>
      </c>
    </row>
    <row r="22" spans="1:16" x14ac:dyDescent="0.25">
      <c r="A22" s="6">
        <v>1</v>
      </c>
      <c r="C22" s="17">
        <f t="shared" si="1"/>
        <v>45786</v>
      </c>
      <c r="D22" s="18" t="str">
        <f>CHOOSE(WEEKDAY(C22,2),'Não Apagar'!$C$3,'Não Apagar'!$C$4,'Não Apagar'!$C$5,'Não Apagar'!$C$6,'Não Apagar'!$C$7,'Não Apagar'!$C$8,'Não Apagar'!$C$9)</f>
        <v>Sexta-feira</v>
      </c>
      <c r="E22" s="20"/>
      <c r="F22" s="20"/>
      <c r="G22" s="20"/>
      <c r="H22" s="20"/>
      <c r="I22" s="26">
        <f t="shared" si="0"/>
        <v>0</v>
      </c>
      <c r="J22" s="26">
        <f>MAX(0,MIN(I22,'Não Apagar'!$J$3))</f>
        <v>0</v>
      </c>
      <c r="K22" s="38">
        <f>MAX(0,I22-'Não Apagar'!$J$3)</f>
        <v>0</v>
      </c>
      <c r="L22" s="29">
        <f t="shared" si="3"/>
        <v>0</v>
      </c>
      <c r="P22" s="6">
        <v>1</v>
      </c>
    </row>
    <row r="23" spans="1:16" x14ac:dyDescent="0.25">
      <c r="A23" s="6">
        <v>1</v>
      </c>
      <c r="C23" s="14">
        <f t="shared" si="1"/>
        <v>45787</v>
      </c>
      <c r="D23" s="15" t="str">
        <f>CHOOSE(WEEKDAY(C23,2),'Não Apagar'!$C$3,'Não Apagar'!$C$4,'Não Apagar'!$C$5,'Não Apagar'!$C$6,'Não Apagar'!$C$7,'Não Apagar'!$C$8,'Não Apagar'!$C$9)</f>
        <v>Sábado</v>
      </c>
      <c r="E23" s="16"/>
      <c r="F23" s="16"/>
      <c r="G23" s="16"/>
      <c r="H23" s="16"/>
      <c r="I23" s="23"/>
      <c r="J23" s="23"/>
      <c r="K23" s="24"/>
      <c r="L23" s="25"/>
      <c r="P23" s="6">
        <v>1</v>
      </c>
    </row>
    <row r="24" spans="1:16" x14ac:dyDescent="0.25">
      <c r="A24" s="6">
        <v>1</v>
      </c>
      <c r="C24" s="14">
        <f t="shared" si="1"/>
        <v>45788</v>
      </c>
      <c r="D24" s="15" t="str">
        <f>CHOOSE(WEEKDAY(C24,2),'Não Apagar'!$C$3,'Não Apagar'!$C$4,'Não Apagar'!$C$5,'Não Apagar'!$C$6,'Não Apagar'!$C$7,'Não Apagar'!$C$8,'Não Apagar'!$C$9)</f>
        <v>Domingo</v>
      </c>
      <c r="E24" s="16"/>
      <c r="F24" s="16"/>
      <c r="G24" s="16"/>
      <c r="H24" s="16"/>
      <c r="I24" s="23"/>
      <c r="J24" s="23"/>
      <c r="K24" s="24"/>
      <c r="L24" s="25"/>
      <c r="P24" s="6">
        <v>1</v>
      </c>
    </row>
    <row r="25" spans="1:16" x14ac:dyDescent="0.25">
      <c r="A25" s="6">
        <v>1</v>
      </c>
      <c r="C25" s="17">
        <f t="shared" si="1"/>
        <v>45789</v>
      </c>
      <c r="D25" s="18" t="str">
        <f>CHOOSE(WEEKDAY(C25,2),'Não Apagar'!$C$3,'Não Apagar'!$C$4,'Não Apagar'!$C$5,'Não Apagar'!$C$6,'Não Apagar'!$C$7,'Não Apagar'!$C$8,'Não Apagar'!$C$9)</f>
        <v>Segunda-feira</v>
      </c>
      <c r="E25" s="20"/>
      <c r="F25" s="20"/>
      <c r="G25" s="20"/>
      <c r="H25" s="20"/>
      <c r="I25" s="26">
        <f t="shared" si="0"/>
        <v>0</v>
      </c>
      <c r="J25" s="26">
        <f>MAX(0,MIN(I25,'Não Apagar'!$J$3))</f>
        <v>0</v>
      </c>
      <c r="K25" s="38">
        <f>MAX(0,I25-'Não Apagar'!$J$3)</f>
        <v>0</v>
      </c>
      <c r="L25" s="29">
        <f>L22+K25</f>
        <v>0</v>
      </c>
      <c r="P25" s="6">
        <v>1</v>
      </c>
    </row>
    <row r="26" spans="1:16" x14ac:dyDescent="0.25">
      <c r="A26" s="6">
        <v>1</v>
      </c>
      <c r="C26" s="17">
        <f t="shared" si="1"/>
        <v>45790</v>
      </c>
      <c r="D26" s="18" t="str">
        <f>CHOOSE(WEEKDAY(C26,2),'Não Apagar'!$C$3,'Não Apagar'!$C$4,'Não Apagar'!$C$5,'Não Apagar'!$C$6,'Não Apagar'!$C$7,'Não Apagar'!$C$8,'Não Apagar'!$C$9)</f>
        <v>Terça-feira</v>
      </c>
      <c r="E26" s="20"/>
      <c r="F26" s="20"/>
      <c r="G26" s="20"/>
      <c r="H26" s="20"/>
      <c r="I26" s="26">
        <f t="shared" si="0"/>
        <v>0</v>
      </c>
      <c r="J26" s="26">
        <f>MAX(0,MIN(I26,'Não Apagar'!$J$3))</f>
        <v>0</v>
      </c>
      <c r="K26" s="38">
        <f>MAX(0,I26-'Não Apagar'!$J$3)</f>
        <v>0</v>
      </c>
      <c r="L26" s="29">
        <f>L25+K26</f>
        <v>0</v>
      </c>
      <c r="P26" s="6">
        <v>1</v>
      </c>
    </row>
    <row r="27" spans="1:16" x14ac:dyDescent="0.25">
      <c r="A27" s="6">
        <v>1</v>
      </c>
      <c r="C27" s="17">
        <f t="shared" si="1"/>
        <v>45791</v>
      </c>
      <c r="D27" s="18" t="str">
        <f>CHOOSE(WEEKDAY(C27,2),'Não Apagar'!$C$3,'Não Apagar'!$C$4,'Não Apagar'!$C$5,'Não Apagar'!$C$6,'Não Apagar'!$C$7,'Não Apagar'!$C$8,'Não Apagar'!$C$9)</f>
        <v>Quarta-feira</v>
      </c>
      <c r="E27" s="19"/>
      <c r="F27" s="19"/>
      <c r="G27" s="19"/>
      <c r="H27" s="19"/>
      <c r="I27" s="26">
        <f t="shared" si="0"/>
        <v>0</v>
      </c>
      <c r="J27" s="26">
        <f>MAX(0,MIN(I27,'Não Apagar'!$J$3))</f>
        <v>0</v>
      </c>
      <c r="K27" s="38">
        <f>MAX(0,I27-'Não Apagar'!$J$3)</f>
        <v>0</v>
      </c>
      <c r="L27" s="29">
        <f t="shared" ref="L27:L29" si="4">L26+K27</f>
        <v>0</v>
      </c>
      <c r="P27" s="6">
        <v>1</v>
      </c>
    </row>
    <row r="28" spans="1:16" x14ac:dyDescent="0.25">
      <c r="A28" s="6">
        <v>1</v>
      </c>
      <c r="C28" s="17">
        <f t="shared" si="1"/>
        <v>45792</v>
      </c>
      <c r="D28" s="18" t="str">
        <f>CHOOSE(WEEKDAY(C28,2),'Não Apagar'!$C$3,'Não Apagar'!$C$4,'Não Apagar'!$C$5,'Não Apagar'!$C$6,'Não Apagar'!$C$7,'Não Apagar'!$C$8,'Não Apagar'!$C$9)</f>
        <v>Segunda-feira</v>
      </c>
      <c r="E28" s="19"/>
      <c r="F28" s="19"/>
      <c r="G28" s="19"/>
      <c r="H28" s="19"/>
      <c r="I28" s="26">
        <f t="shared" si="0"/>
        <v>0</v>
      </c>
      <c r="J28" s="26">
        <f>MAX(0,MIN(I28,'Não Apagar'!$J$3))</f>
        <v>0</v>
      </c>
      <c r="K28" s="38">
        <f>MAX(0,I28-'Não Apagar'!$J$3)</f>
        <v>0</v>
      </c>
      <c r="L28" s="29">
        <f t="shared" si="4"/>
        <v>0</v>
      </c>
      <c r="P28" s="6">
        <v>1</v>
      </c>
    </row>
    <row r="29" spans="1:16" x14ac:dyDescent="0.25">
      <c r="A29" s="6">
        <v>1</v>
      </c>
      <c r="C29" s="17">
        <f t="shared" si="1"/>
        <v>45793</v>
      </c>
      <c r="D29" s="18" t="str">
        <f>CHOOSE(WEEKDAY(C29,2),'Não Apagar'!$C$3,'Não Apagar'!$C$4,'Não Apagar'!$C$5,'Não Apagar'!$C$6,'Não Apagar'!$C$7,'Não Apagar'!$C$8,'Não Apagar'!$C$9)</f>
        <v>Sexta-feira</v>
      </c>
      <c r="E29" s="20"/>
      <c r="F29" s="20"/>
      <c r="G29" s="20"/>
      <c r="H29" s="20"/>
      <c r="I29" s="26">
        <f t="shared" si="0"/>
        <v>0</v>
      </c>
      <c r="J29" s="26">
        <f>MAX(0,MIN(I29,'Não Apagar'!$J$3))</f>
        <v>0</v>
      </c>
      <c r="K29" s="38">
        <f>MAX(0,I29-'Não Apagar'!$J$3)</f>
        <v>0</v>
      </c>
      <c r="L29" s="29">
        <f t="shared" si="4"/>
        <v>0</v>
      </c>
      <c r="P29" s="6">
        <v>1</v>
      </c>
    </row>
    <row r="30" spans="1:16" x14ac:dyDescent="0.25">
      <c r="A30" s="6">
        <v>1</v>
      </c>
      <c r="C30" s="14">
        <f t="shared" si="1"/>
        <v>45794</v>
      </c>
      <c r="D30" s="15" t="str">
        <f>CHOOSE(WEEKDAY(C30,2),'Não Apagar'!$C$3,'Não Apagar'!$C$4,'Não Apagar'!$C$5,'Não Apagar'!$C$6,'Não Apagar'!$C$7,'Não Apagar'!$C$8,'Não Apagar'!$C$9)</f>
        <v>Sábado</v>
      </c>
      <c r="E30" s="16"/>
      <c r="F30" s="16"/>
      <c r="G30" s="16"/>
      <c r="H30" s="16"/>
      <c r="I30" s="23"/>
      <c r="J30" s="23"/>
      <c r="K30" s="24"/>
      <c r="L30" s="25"/>
      <c r="P30" s="6">
        <v>1</v>
      </c>
    </row>
    <row r="31" spans="1:16" x14ac:dyDescent="0.25">
      <c r="A31" s="6">
        <v>1</v>
      </c>
      <c r="C31" s="14">
        <f t="shared" si="1"/>
        <v>45795</v>
      </c>
      <c r="D31" s="15" t="str">
        <f>CHOOSE(WEEKDAY(C31,2),'Não Apagar'!$C$3,'Não Apagar'!$C$4,'Não Apagar'!$C$5,'Não Apagar'!$C$6,'Não Apagar'!$C$7,'Não Apagar'!$C$8,'Não Apagar'!$C$9)</f>
        <v>Domingo</v>
      </c>
      <c r="E31" s="16"/>
      <c r="F31" s="16"/>
      <c r="G31" s="16"/>
      <c r="H31" s="16"/>
      <c r="I31" s="23"/>
      <c r="J31" s="23"/>
      <c r="K31" s="24"/>
      <c r="L31" s="25"/>
      <c r="P31" s="6">
        <v>1</v>
      </c>
    </row>
    <row r="32" spans="1:16" x14ac:dyDescent="0.25">
      <c r="A32" s="6">
        <v>1</v>
      </c>
      <c r="C32" s="17">
        <f t="shared" si="1"/>
        <v>45796</v>
      </c>
      <c r="D32" s="18" t="str">
        <f>CHOOSE(WEEKDAY(C32,2),'Não Apagar'!$C$3,'Não Apagar'!$C$4,'Não Apagar'!$C$5,'Não Apagar'!$C$6,'Não Apagar'!$C$7,'Não Apagar'!$C$8,'Não Apagar'!$C$9)</f>
        <v>Segunda-feira</v>
      </c>
      <c r="E32" s="20"/>
      <c r="F32" s="20"/>
      <c r="G32" s="20"/>
      <c r="H32" s="20"/>
      <c r="I32" s="26">
        <f t="shared" si="0"/>
        <v>0</v>
      </c>
      <c r="J32" s="26">
        <f>MAX(0,MIN(I32,'Não Apagar'!$J$3))</f>
        <v>0</v>
      </c>
      <c r="K32" s="38">
        <f>MAX(0,I32-'Não Apagar'!$J$3)</f>
        <v>0</v>
      </c>
      <c r="L32" s="29">
        <f>L29+K32</f>
        <v>0</v>
      </c>
      <c r="P32" s="6">
        <v>1</v>
      </c>
    </row>
    <row r="33" spans="1:16" x14ac:dyDescent="0.25">
      <c r="A33" s="6">
        <v>1</v>
      </c>
      <c r="C33" s="17">
        <f t="shared" si="1"/>
        <v>45797</v>
      </c>
      <c r="D33" s="18" t="str">
        <f>CHOOSE(WEEKDAY(C33,2),'Não Apagar'!$C$3,'Não Apagar'!$C$4,'Não Apagar'!$C$5,'Não Apagar'!$C$6,'Não Apagar'!$C$7,'Não Apagar'!$C$8,'Não Apagar'!$C$9)</f>
        <v>Terça-feira</v>
      </c>
      <c r="E33" s="20"/>
      <c r="F33" s="20"/>
      <c r="G33" s="20"/>
      <c r="H33" s="20"/>
      <c r="I33" s="26">
        <f t="shared" si="0"/>
        <v>0</v>
      </c>
      <c r="J33" s="26">
        <f>MAX(0,MIN(I33,'Não Apagar'!$J$3))</f>
        <v>0</v>
      </c>
      <c r="K33" s="38">
        <f>MAX(0,I33-'Não Apagar'!$J$3)</f>
        <v>0</v>
      </c>
      <c r="L33" s="29">
        <f>L32+K33</f>
        <v>0</v>
      </c>
      <c r="P33" s="6">
        <v>1</v>
      </c>
    </row>
    <row r="34" spans="1:16" x14ac:dyDescent="0.25">
      <c r="A34" s="6">
        <v>1</v>
      </c>
      <c r="C34" s="17">
        <f t="shared" si="1"/>
        <v>45798</v>
      </c>
      <c r="D34" s="18" t="str">
        <f>CHOOSE(WEEKDAY(C34,2),'Não Apagar'!$C$3,'Não Apagar'!$C$4,'Não Apagar'!$C$5,'Não Apagar'!$C$6,'Não Apagar'!$C$7,'Não Apagar'!$C$8,'Não Apagar'!$C$9)</f>
        <v>Quarta-feira</v>
      </c>
      <c r="E34" s="19"/>
      <c r="F34" s="19"/>
      <c r="G34" s="19"/>
      <c r="H34" s="19"/>
      <c r="I34" s="26">
        <f t="shared" si="0"/>
        <v>0</v>
      </c>
      <c r="J34" s="26">
        <f>MAX(0,MIN(I34,'Não Apagar'!$J$3))</f>
        <v>0</v>
      </c>
      <c r="K34" s="38">
        <f>MAX(0,I34-'Não Apagar'!$J$3)</f>
        <v>0</v>
      </c>
      <c r="L34" s="29">
        <f t="shared" ref="L34:L36" si="5">L33+K34</f>
        <v>0</v>
      </c>
      <c r="P34" s="6">
        <v>1</v>
      </c>
    </row>
    <row r="35" spans="1:16" x14ac:dyDescent="0.25">
      <c r="A35" s="6">
        <v>1</v>
      </c>
      <c r="C35" s="17">
        <f t="shared" si="1"/>
        <v>45799</v>
      </c>
      <c r="D35" s="18" t="str">
        <f>CHOOSE(WEEKDAY(C35,2),'Não Apagar'!$C$3,'Não Apagar'!$C$4,'Não Apagar'!$C$5,'Não Apagar'!$C$6,'Não Apagar'!$C$7,'Não Apagar'!$C$8,'Não Apagar'!$C$9)</f>
        <v>Segunda-feira</v>
      </c>
      <c r="E35" s="19"/>
      <c r="F35" s="19"/>
      <c r="G35" s="19"/>
      <c r="H35" s="19"/>
      <c r="I35" s="26">
        <f t="shared" si="0"/>
        <v>0</v>
      </c>
      <c r="J35" s="26">
        <f>MAX(0,MIN(I35,'Não Apagar'!$J$3))</f>
        <v>0</v>
      </c>
      <c r="K35" s="38">
        <f>MAX(0,I35-'Não Apagar'!$J$3)</f>
        <v>0</v>
      </c>
      <c r="L35" s="29">
        <f t="shared" si="5"/>
        <v>0</v>
      </c>
      <c r="P35" s="6">
        <v>1</v>
      </c>
    </row>
    <row r="36" spans="1:16" x14ac:dyDescent="0.25">
      <c r="A36" s="6">
        <v>1</v>
      </c>
      <c r="C36" s="17">
        <f t="shared" si="1"/>
        <v>45800</v>
      </c>
      <c r="D36" s="18" t="str">
        <f>CHOOSE(WEEKDAY(C36,2),'Não Apagar'!$C$3,'Não Apagar'!$C$4,'Não Apagar'!$C$5,'Não Apagar'!$C$6,'Não Apagar'!$C$7,'Não Apagar'!$C$8,'Não Apagar'!$C$9)</f>
        <v>Sexta-feira</v>
      </c>
      <c r="E36" s="20"/>
      <c r="F36" s="20"/>
      <c r="G36" s="20"/>
      <c r="H36" s="20"/>
      <c r="I36" s="26">
        <f t="shared" si="0"/>
        <v>0</v>
      </c>
      <c r="J36" s="26">
        <f>MAX(0,MIN(I36,'Não Apagar'!$J$3))</f>
        <v>0</v>
      </c>
      <c r="K36" s="38">
        <f>MAX(0,I36-'Não Apagar'!$J$3)</f>
        <v>0</v>
      </c>
      <c r="L36" s="29">
        <f t="shared" si="5"/>
        <v>0</v>
      </c>
      <c r="P36" s="6">
        <v>1</v>
      </c>
    </row>
    <row r="37" spans="1:16" x14ac:dyDescent="0.25">
      <c r="A37" s="6">
        <v>1</v>
      </c>
      <c r="C37" s="14">
        <f t="shared" si="1"/>
        <v>45801</v>
      </c>
      <c r="D37" s="15" t="str">
        <f>CHOOSE(WEEKDAY(C37,2),'Não Apagar'!$C$3,'Não Apagar'!$C$4,'Não Apagar'!$C$5,'Não Apagar'!$C$6,'Não Apagar'!$C$7,'Não Apagar'!$C$8,'Não Apagar'!$C$9)</f>
        <v>Sábado</v>
      </c>
      <c r="E37" s="16"/>
      <c r="F37" s="16"/>
      <c r="G37" s="16"/>
      <c r="H37" s="16"/>
      <c r="I37" s="23"/>
      <c r="J37" s="23"/>
      <c r="K37" s="24"/>
      <c r="L37" s="25"/>
      <c r="P37" s="6">
        <v>1</v>
      </c>
    </row>
    <row r="38" spans="1:16" x14ac:dyDescent="0.25">
      <c r="A38" s="6">
        <v>1</v>
      </c>
      <c r="C38" s="14">
        <f t="shared" si="1"/>
        <v>45802</v>
      </c>
      <c r="D38" s="15" t="str">
        <f>CHOOSE(WEEKDAY(C38,2),'Não Apagar'!$C$3,'Não Apagar'!$C$4,'Não Apagar'!$C$5,'Não Apagar'!$C$6,'Não Apagar'!$C$7,'Não Apagar'!$C$8,'Não Apagar'!$C$9)</f>
        <v>Domingo</v>
      </c>
      <c r="E38" s="16"/>
      <c r="F38" s="16"/>
      <c r="G38" s="16"/>
      <c r="H38" s="16"/>
      <c r="I38" s="23"/>
      <c r="J38" s="23"/>
      <c r="K38" s="24"/>
      <c r="L38" s="25"/>
      <c r="P38" s="6">
        <v>1</v>
      </c>
    </row>
    <row r="39" spans="1:16" x14ac:dyDescent="0.25">
      <c r="A39" s="6">
        <v>1</v>
      </c>
      <c r="C39" s="17">
        <f t="shared" si="1"/>
        <v>45803</v>
      </c>
      <c r="D39" s="18" t="str">
        <f>CHOOSE(WEEKDAY(C39,2),'Não Apagar'!$C$3,'Não Apagar'!$C$4,'Não Apagar'!$C$5,'Não Apagar'!$C$6,'Não Apagar'!$C$7,'Não Apagar'!$C$8,'Não Apagar'!$C$9)</f>
        <v>Segunda-feira</v>
      </c>
      <c r="E39" s="20"/>
      <c r="F39" s="20"/>
      <c r="G39" s="20"/>
      <c r="H39" s="20"/>
      <c r="I39" s="26">
        <f t="shared" si="0"/>
        <v>0</v>
      </c>
      <c r="J39" s="26">
        <f>MAX(0,MIN(I39,'Não Apagar'!$J$3))</f>
        <v>0</v>
      </c>
      <c r="K39" s="38">
        <f>MAX(0,I39-'Não Apagar'!$J$3)</f>
        <v>0</v>
      </c>
      <c r="L39" s="29">
        <f>L36+K39</f>
        <v>0</v>
      </c>
      <c r="P39" s="6">
        <v>1</v>
      </c>
    </row>
    <row r="40" spans="1:16" x14ac:dyDescent="0.25">
      <c r="A40" s="6">
        <v>1</v>
      </c>
      <c r="C40" s="17">
        <f t="shared" si="1"/>
        <v>45804</v>
      </c>
      <c r="D40" s="18" t="str">
        <f>CHOOSE(WEEKDAY(C40,2),'Não Apagar'!$C$3,'Não Apagar'!$C$4,'Não Apagar'!$C$5,'Não Apagar'!$C$6,'Não Apagar'!$C$7,'Não Apagar'!$C$8,'Não Apagar'!$C$9)</f>
        <v>Terça-feira</v>
      </c>
      <c r="E40" s="20"/>
      <c r="F40" s="20"/>
      <c r="G40" s="20"/>
      <c r="H40" s="20"/>
      <c r="I40" s="26">
        <f t="shared" si="0"/>
        <v>0</v>
      </c>
      <c r="J40" s="26">
        <f>MAX(0,MIN(I40,'Não Apagar'!$J$3))</f>
        <v>0</v>
      </c>
      <c r="K40" s="38">
        <f>MAX(0,I40-'Não Apagar'!$J$3)</f>
        <v>0</v>
      </c>
      <c r="L40" s="29">
        <f>L39+K40</f>
        <v>0</v>
      </c>
      <c r="P40" s="6">
        <v>1</v>
      </c>
    </row>
    <row r="41" spans="1:16" x14ac:dyDescent="0.25">
      <c r="A41" s="6">
        <v>1</v>
      </c>
      <c r="C41" s="17">
        <f t="shared" si="1"/>
        <v>45805</v>
      </c>
      <c r="D41" s="18" t="str">
        <f>CHOOSE(WEEKDAY(C41,2),'Não Apagar'!$C$3,'Não Apagar'!$C$4,'Não Apagar'!$C$5,'Não Apagar'!$C$6,'Não Apagar'!$C$7,'Não Apagar'!$C$8,'Não Apagar'!$C$9)</f>
        <v>Quarta-feira</v>
      </c>
      <c r="E41" s="19"/>
      <c r="F41" s="19"/>
      <c r="G41" s="19"/>
      <c r="H41" s="19"/>
      <c r="I41" s="26">
        <f t="shared" si="0"/>
        <v>0</v>
      </c>
      <c r="J41" s="26">
        <f>MAX(0,MIN(I41,'Não Apagar'!$J$3))</f>
        <v>0</v>
      </c>
      <c r="K41" s="38">
        <f>MAX(0,I41-'Não Apagar'!$J$3)</f>
        <v>0</v>
      </c>
      <c r="L41" s="29">
        <f t="shared" ref="L41:L43" si="6">L40+K41</f>
        <v>0</v>
      </c>
      <c r="P41" s="6">
        <v>1</v>
      </c>
    </row>
    <row r="42" spans="1:16" x14ac:dyDescent="0.25">
      <c r="A42" s="6">
        <v>1</v>
      </c>
      <c r="C42" s="17">
        <f t="shared" si="1"/>
        <v>45806</v>
      </c>
      <c r="D42" s="18" t="str">
        <f>CHOOSE(WEEKDAY(C42,2),'Não Apagar'!$C$3,'Não Apagar'!$C$4,'Não Apagar'!$C$5,'Não Apagar'!$C$6,'Não Apagar'!$C$7,'Não Apagar'!$C$8,'Não Apagar'!$C$9)</f>
        <v>Segunda-feira</v>
      </c>
      <c r="E42" s="19"/>
      <c r="F42" s="19"/>
      <c r="G42" s="19"/>
      <c r="H42" s="19"/>
      <c r="I42" s="26">
        <f t="shared" si="0"/>
        <v>0</v>
      </c>
      <c r="J42" s="26">
        <f>MAX(0,MIN(I42,'Não Apagar'!$J$3))</f>
        <v>0</v>
      </c>
      <c r="K42" s="38">
        <f>MAX(0,I42-'Não Apagar'!$J$3)</f>
        <v>0</v>
      </c>
      <c r="L42" s="29">
        <f t="shared" si="6"/>
        <v>0</v>
      </c>
      <c r="P42" s="6">
        <v>1</v>
      </c>
    </row>
    <row r="43" spans="1:16" x14ac:dyDescent="0.25">
      <c r="A43" s="6">
        <v>1</v>
      </c>
      <c r="C43" s="17">
        <f t="shared" si="1"/>
        <v>45807</v>
      </c>
      <c r="D43" s="18" t="str">
        <f>CHOOSE(WEEKDAY(C43,2),'Não Apagar'!$C$3,'Não Apagar'!$C$4,'Não Apagar'!$C$5,'Não Apagar'!$C$6,'Não Apagar'!$C$7,'Não Apagar'!$C$8,'Não Apagar'!$C$9)</f>
        <v>Sexta-feira</v>
      </c>
      <c r="E43" s="19"/>
      <c r="F43" s="19"/>
      <c r="G43" s="19"/>
      <c r="H43" s="19"/>
      <c r="I43" s="26">
        <f t="shared" si="0"/>
        <v>0</v>
      </c>
      <c r="J43" s="26">
        <f>MAX(0,MIN(I43,'Não Apagar'!$J$3))</f>
        <v>0</v>
      </c>
      <c r="K43" s="38">
        <f>MAX(0,I43-'Não Apagar'!$J$3)</f>
        <v>0</v>
      </c>
      <c r="L43" s="29">
        <f t="shared" si="6"/>
        <v>0</v>
      </c>
      <c r="P43" s="6">
        <v>1</v>
      </c>
    </row>
    <row r="44" spans="1:16" x14ac:dyDescent="0.25">
      <c r="A44" s="6">
        <v>1</v>
      </c>
      <c r="C44" s="14">
        <f t="shared" si="1"/>
        <v>45808</v>
      </c>
      <c r="D44" s="15" t="str">
        <f>CHOOSE(WEEKDAY(C44,2),'Não Apagar'!$C$3,'Não Apagar'!$C$4,'Não Apagar'!$C$5,'Não Apagar'!$C$6,'Não Apagar'!$C$7,'Não Apagar'!$C$8,'Não Apagar'!$C$9)</f>
        <v>Sábado</v>
      </c>
      <c r="E44" s="21"/>
      <c r="F44" s="21"/>
      <c r="G44" s="21"/>
      <c r="H44" s="21"/>
      <c r="I44" s="23"/>
      <c r="J44" s="23"/>
      <c r="K44" s="24"/>
      <c r="L44" s="25"/>
      <c r="P44" s="6">
        <v>1</v>
      </c>
    </row>
    <row r="45" spans="1:16" x14ac:dyDescent="0.25">
      <c r="A45" s="6">
        <v>1</v>
      </c>
      <c r="P45" s="6">
        <v>1</v>
      </c>
    </row>
    <row r="46" spans="1:16" x14ac:dyDescent="0.25">
      <c r="A46" s="6">
        <v>1</v>
      </c>
      <c r="J46" s="30" t="s">
        <v>19</v>
      </c>
      <c r="K46" s="31"/>
      <c r="L46" s="32">
        <f>IFERROR(INDEX(L14:L43,MATCH(9^9,H14:H43)),Abr.25!L46)</f>
        <v>0</v>
      </c>
      <c r="P46" s="6">
        <v>1</v>
      </c>
    </row>
    <row r="47" spans="1:16" x14ac:dyDescent="0.25">
      <c r="A47" s="6"/>
      <c r="L47" s="29"/>
      <c r="P47" s="6"/>
    </row>
    <row r="48" spans="1:16" x14ac:dyDescent="0.25">
      <c r="A48" s="6"/>
      <c r="L48" s="29"/>
      <c r="P48" s="6"/>
    </row>
    <row r="49" spans="1:16" x14ac:dyDescent="0.25">
      <c r="A49" s="6"/>
      <c r="L49" s="29"/>
      <c r="N49" s="26"/>
      <c r="P49" s="6"/>
    </row>
    <row r="50" spans="1:16" x14ac:dyDescent="0.25">
      <c r="A50" s="6"/>
      <c r="L50" s="29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22"/>
      <c r="F53" s="22"/>
      <c r="G53" s="22"/>
      <c r="H53" s="22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P61"/>
  <sheetViews>
    <sheetView showGridLines="0" topLeftCell="A11" workbookViewId="0">
      <selection activeCell="K37" sqref="K37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1.88671875" style="2" customWidth="1"/>
    <col min="10" max="10" width="20.109375" style="2" customWidth="1"/>
    <col min="11" max="11" width="16" style="2" customWidth="1"/>
    <col min="12" max="12" width="31.8867187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26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v>45809</v>
      </c>
      <c r="D13" s="15" t="str">
        <f>CHOOSE(WEEKDAY(C13,2),'Não Apagar'!$C$3,'Não Apagar'!$C$4,'Não Apagar'!$C$5,'Não Apagar'!$C$6,'Não Apagar'!$C$7,'Não Apagar'!$C$8,'Não Apagar'!$C$9)</f>
        <v>Domingo</v>
      </c>
      <c r="E13" s="21"/>
      <c r="F13" s="21"/>
      <c r="G13" s="21"/>
      <c r="H13" s="21"/>
      <c r="I13" s="23"/>
      <c r="J13" s="23"/>
      <c r="K13" s="24"/>
      <c r="L13" s="24"/>
      <c r="P13" s="6">
        <v>1</v>
      </c>
    </row>
    <row r="14" spans="1:16" x14ac:dyDescent="0.25">
      <c r="A14" s="6">
        <v>1</v>
      </c>
      <c r="C14" s="33">
        <f t="shared" ref="C14:C42" si="0">C13+1</f>
        <v>45810</v>
      </c>
      <c r="D14" s="34" t="str">
        <f>CHOOSE(WEEKDAY(C14,2),'Não Apagar'!$C$3,'Não Apagar'!$C$4,'Não Apagar'!$C$5,'Não Apagar'!$C$6,'Não Apagar'!$C$7,'Não Apagar'!$C$8,'Não Apagar'!$C$9)</f>
        <v>Segunda-feira</v>
      </c>
      <c r="E14" s="37">
        <v>0</v>
      </c>
      <c r="F14" s="37">
        <v>0</v>
      </c>
      <c r="G14" s="37">
        <v>0</v>
      </c>
      <c r="H14" s="37">
        <v>0</v>
      </c>
      <c r="I14" s="27">
        <f t="shared" ref="I14:I42" si="1">((H14-E14)-(G14-F14))*24</f>
        <v>0</v>
      </c>
      <c r="J14" s="27">
        <f>MAX(0,MIN(I14,'Não Apagar'!$J$3))</f>
        <v>0</v>
      </c>
      <c r="K14" s="28">
        <f>MAX(0,I14-'Não Apagar'!$J$3)</f>
        <v>0</v>
      </c>
      <c r="L14" s="29">
        <f>K14+Mai.25!L46</f>
        <v>0</v>
      </c>
      <c r="P14" s="6">
        <v>1</v>
      </c>
    </row>
    <row r="15" spans="1:16" x14ac:dyDescent="0.25">
      <c r="A15" s="6">
        <v>1</v>
      </c>
      <c r="C15" s="33">
        <f t="shared" si="0"/>
        <v>45811</v>
      </c>
      <c r="D15" s="34" t="str">
        <f>CHOOSE(WEEKDAY(C15,2),'Não Apagar'!$C$3,'Não Apagar'!$C$4,'Não Apagar'!$C$5,'Não Apagar'!$C$6,'Não Apagar'!$C$7,'Não Apagar'!$C$8,'Não Apagar'!$C$9)</f>
        <v>Terça-feira</v>
      </c>
      <c r="E15" s="37">
        <v>0</v>
      </c>
      <c r="F15" s="37">
        <v>0</v>
      </c>
      <c r="G15" s="37">
        <v>0</v>
      </c>
      <c r="H15" s="37">
        <v>0</v>
      </c>
      <c r="I15" s="27">
        <f t="shared" si="1"/>
        <v>0</v>
      </c>
      <c r="J15" s="27">
        <f>MAX(0,MIN(I15,'Não Apagar'!$J$3))</f>
        <v>0</v>
      </c>
      <c r="K15" s="28">
        <f>MAX(0,I15-'Não Apagar'!$J$3)</f>
        <v>0</v>
      </c>
      <c r="L15" s="29">
        <f t="shared" ref="L15:L18" si="2">L14+K15</f>
        <v>0</v>
      </c>
      <c r="P15" s="6">
        <v>1</v>
      </c>
    </row>
    <row r="16" spans="1:16" x14ac:dyDescent="0.25">
      <c r="A16" s="6">
        <v>1</v>
      </c>
      <c r="C16" s="33">
        <f t="shared" si="0"/>
        <v>45812</v>
      </c>
      <c r="D16" s="34" t="str">
        <f>CHOOSE(WEEKDAY(C16,2),'Não Apagar'!$C$3,'Não Apagar'!$C$4,'Não Apagar'!$C$5,'Não Apagar'!$C$6,'Não Apagar'!$C$7,'Não Apagar'!$C$8,'Não Apagar'!$C$9)</f>
        <v>Quarta-feira</v>
      </c>
      <c r="E16" s="37">
        <v>0</v>
      </c>
      <c r="F16" s="37">
        <v>0</v>
      </c>
      <c r="G16" s="37">
        <v>0</v>
      </c>
      <c r="H16" s="37">
        <v>0</v>
      </c>
      <c r="I16" s="27">
        <f t="shared" si="1"/>
        <v>0</v>
      </c>
      <c r="J16" s="27">
        <f>MAX(0,MIN(I16,'Não Apagar'!$J$3))</f>
        <v>0</v>
      </c>
      <c r="K16" s="28">
        <f>MAX(0,I16-'Não Apagar'!$J$3)</f>
        <v>0</v>
      </c>
      <c r="L16" s="29">
        <f t="shared" si="2"/>
        <v>0</v>
      </c>
      <c r="P16" s="6">
        <v>1</v>
      </c>
    </row>
    <row r="17" spans="1:16" x14ac:dyDescent="0.25">
      <c r="A17" s="6">
        <v>1</v>
      </c>
      <c r="C17" s="33">
        <f t="shared" si="0"/>
        <v>45813</v>
      </c>
      <c r="D17" s="34" t="str">
        <f>CHOOSE(WEEKDAY(C17,2),'Não Apagar'!$C$3,'Não Apagar'!$C$4,'Não Apagar'!$C$5,'Não Apagar'!$C$6,'Não Apagar'!$C$7,'Não Apagar'!$C$8,'Não Apagar'!$C$9)</f>
        <v>Segunda-feira</v>
      </c>
      <c r="E17" s="37">
        <v>0</v>
      </c>
      <c r="F17" s="37">
        <v>0</v>
      </c>
      <c r="G17" s="37">
        <v>0</v>
      </c>
      <c r="H17" s="37">
        <v>0</v>
      </c>
      <c r="I17" s="27">
        <f t="shared" si="1"/>
        <v>0</v>
      </c>
      <c r="J17" s="27">
        <f>MAX(0,MIN(I17,'Não Apagar'!$J$3))</f>
        <v>0</v>
      </c>
      <c r="K17" s="28">
        <f>MAX(0,I17-'Não Apagar'!$J$3)</f>
        <v>0</v>
      </c>
      <c r="L17" s="29">
        <f t="shared" si="2"/>
        <v>0</v>
      </c>
      <c r="P17" s="6">
        <v>1</v>
      </c>
    </row>
    <row r="18" spans="1:16" x14ac:dyDescent="0.25">
      <c r="A18" s="6">
        <v>1</v>
      </c>
      <c r="C18" s="33">
        <f t="shared" si="0"/>
        <v>45814</v>
      </c>
      <c r="D18" s="34" t="str">
        <f>CHOOSE(WEEKDAY(C18,2),'Não Apagar'!$C$3,'Não Apagar'!$C$4,'Não Apagar'!$C$5,'Não Apagar'!$C$6,'Não Apagar'!$C$7,'Não Apagar'!$C$8,'Não Apagar'!$C$9)</f>
        <v>Sexta-feira</v>
      </c>
      <c r="E18" s="37">
        <v>0</v>
      </c>
      <c r="F18" s="37">
        <v>0</v>
      </c>
      <c r="G18" s="37">
        <v>0</v>
      </c>
      <c r="H18" s="37">
        <v>0</v>
      </c>
      <c r="I18" s="27">
        <f t="shared" si="1"/>
        <v>0</v>
      </c>
      <c r="J18" s="27">
        <f>MAX(0,MIN(I18,'Não Apagar'!$J$3))</f>
        <v>0</v>
      </c>
      <c r="K18" s="28">
        <f>MAX(0,I18-'Não Apagar'!$J$3)</f>
        <v>0</v>
      </c>
      <c r="L18" s="29">
        <f t="shared" si="2"/>
        <v>0</v>
      </c>
      <c r="P18" s="6">
        <v>1</v>
      </c>
    </row>
    <row r="19" spans="1:16" x14ac:dyDescent="0.25">
      <c r="A19" s="6">
        <v>1</v>
      </c>
      <c r="C19" s="14">
        <f t="shared" si="0"/>
        <v>45815</v>
      </c>
      <c r="D19" s="15" t="str">
        <f>CHOOSE(WEEKDAY(C19,2),'Não Apagar'!$C$3,'Não Apagar'!$C$4,'Não Apagar'!$C$5,'Não Apagar'!$C$6,'Não Apagar'!$C$7,'Não Apagar'!$C$8,'Não Apagar'!$C$9)</f>
        <v>Sábado</v>
      </c>
      <c r="E19" s="21"/>
      <c r="F19" s="21"/>
      <c r="G19" s="21"/>
      <c r="H19" s="21"/>
      <c r="I19" s="23"/>
      <c r="J19" s="23"/>
      <c r="K19" s="24"/>
      <c r="L19" s="25"/>
      <c r="P19" s="6">
        <v>1</v>
      </c>
    </row>
    <row r="20" spans="1:16" x14ac:dyDescent="0.25">
      <c r="A20" s="6">
        <v>1</v>
      </c>
      <c r="C20" s="14">
        <f t="shared" si="0"/>
        <v>45816</v>
      </c>
      <c r="D20" s="15" t="str">
        <f>CHOOSE(WEEKDAY(C20,2),'Não Apagar'!$C$3,'Não Apagar'!$C$4,'Não Apagar'!$C$5,'Não Apagar'!$C$6,'Não Apagar'!$C$7,'Não Apagar'!$C$8,'Não Apagar'!$C$9)</f>
        <v>Domingo</v>
      </c>
      <c r="E20" s="21"/>
      <c r="F20" s="21"/>
      <c r="G20" s="21"/>
      <c r="H20" s="21"/>
      <c r="I20" s="23"/>
      <c r="J20" s="23"/>
      <c r="K20" s="24"/>
      <c r="L20" s="25"/>
      <c r="P20" s="6">
        <v>1</v>
      </c>
    </row>
    <row r="21" spans="1:16" x14ac:dyDescent="0.25">
      <c r="A21" s="6">
        <v>1</v>
      </c>
      <c r="C21" s="33">
        <f t="shared" si="0"/>
        <v>45817</v>
      </c>
      <c r="D21" s="34" t="str">
        <f>CHOOSE(WEEKDAY(C21,2),'Não Apagar'!$C$3,'Não Apagar'!$C$4,'Não Apagar'!$C$5,'Não Apagar'!$C$6,'Não Apagar'!$C$7,'Não Apagar'!$C$8,'Não Apagar'!$C$9)</f>
        <v>Segunda-feira</v>
      </c>
      <c r="E21" s="37">
        <v>0</v>
      </c>
      <c r="F21" s="37">
        <v>0</v>
      </c>
      <c r="G21" s="37">
        <v>0</v>
      </c>
      <c r="H21" s="37">
        <v>0</v>
      </c>
      <c r="I21" s="27">
        <f t="shared" si="1"/>
        <v>0</v>
      </c>
      <c r="J21" s="27">
        <f>MAX(0,MIN(I21,'Não Apagar'!$J$3))</f>
        <v>0</v>
      </c>
      <c r="K21" s="28">
        <f>MAX(0,I21-'Não Apagar'!$J$3)</f>
        <v>0</v>
      </c>
      <c r="L21" s="29">
        <f>L18+K21</f>
        <v>0</v>
      </c>
      <c r="P21" s="6">
        <v>1</v>
      </c>
    </row>
    <row r="22" spans="1:16" x14ac:dyDescent="0.25">
      <c r="A22" s="6">
        <v>1</v>
      </c>
      <c r="C22" s="33">
        <f t="shared" si="0"/>
        <v>45818</v>
      </c>
      <c r="D22" s="34" t="str">
        <f>CHOOSE(WEEKDAY(C22,2),'Não Apagar'!$C$3,'Não Apagar'!$C$4,'Não Apagar'!$C$5,'Não Apagar'!$C$6,'Não Apagar'!$C$7,'Não Apagar'!$C$8,'Não Apagar'!$C$9)</f>
        <v>Terça-feira</v>
      </c>
      <c r="E22" s="37">
        <v>0</v>
      </c>
      <c r="F22" s="37">
        <v>0</v>
      </c>
      <c r="G22" s="37">
        <v>0</v>
      </c>
      <c r="H22" s="37">
        <v>0</v>
      </c>
      <c r="I22" s="27">
        <f t="shared" si="1"/>
        <v>0</v>
      </c>
      <c r="J22" s="27">
        <f>MAX(0,MIN(I22,'Não Apagar'!$J$3))</f>
        <v>0</v>
      </c>
      <c r="K22" s="28">
        <f>MAX(0,I22-'Não Apagar'!$J$3)</f>
        <v>0</v>
      </c>
      <c r="L22" s="29">
        <f t="shared" ref="L22:L25" si="3">L21+K22</f>
        <v>0</v>
      </c>
      <c r="P22" s="6">
        <v>1</v>
      </c>
    </row>
    <row r="23" spans="1:16" x14ac:dyDescent="0.25">
      <c r="A23" s="6">
        <v>1</v>
      </c>
      <c r="C23" s="33">
        <f t="shared" si="0"/>
        <v>45819</v>
      </c>
      <c r="D23" s="34" t="str">
        <f>CHOOSE(WEEKDAY(C23,2),'Não Apagar'!$C$3,'Não Apagar'!$C$4,'Não Apagar'!$C$5,'Não Apagar'!$C$6,'Não Apagar'!$C$7,'Não Apagar'!$C$8,'Não Apagar'!$C$9)</f>
        <v>Quarta-feira</v>
      </c>
      <c r="E23" s="37">
        <v>0</v>
      </c>
      <c r="F23" s="37">
        <v>0</v>
      </c>
      <c r="G23" s="37">
        <v>0</v>
      </c>
      <c r="H23" s="37">
        <v>0</v>
      </c>
      <c r="I23" s="27">
        <f t="shared" si="1"/>
        <v>0</v>
      </c>
      <c r="J23" s="27">
        <f>MAX(0,MIN(I23,'Não Apagar'!$J$3))</f>
        <v>0</v>
      </c>
      <c r="K23" s="28">
        <f>MAX(0,I23-'Não Apagar'!$J$3)</f>
        <v>0</v>
      </c>
      <c r="L23" s="29">
        <f t="shared" si="3"/>
        <v>0</v>
      </c>
      <c r="P23" s="6">
        <v>1</v>
      </c>
    </row>
    <row r="24" spans="1:16" x14ac:dyDescent="0.25">
      <c r="A24" s="6">
        <v>1</v>
      </c>
      <c r="C24" s="33">
        <f t="shared" si="0"/>
        <v>45820</v>
      </c>
      <c r="D24" s="34" t="str">
        <f>CHOOSE(WEEKDAY(C24,2),'Não Apagar'!$C$3,'Não Apagar'!$C$4,'Não Apagar'!$C$5,'Não Apagar'!$C$6,'Não Apagar'!$C$7,'Não Apagar'!$C$8,'Não Apagar'!$C$9)</f>
        <v>Segunda-feira</v>
      </c>
      <c r="E24" s="37">
        <v>0</v>
      </c>
      <c r="F24" s="37">
        <v>0</v>
      </c>
      <c r="G24" s="37">
        <v>0</v>
      </c>
      <c r="H24" s="37">
        <v>0</v>
      </c>
      <c r="I24" s="27">
        <f t="shared" si="1"/>
        <v>0</v>
      </c>
      <c r="J24" s="27">
        <f>MAX(0,MIN(I24,'Não Apagar'!$J$3))</f>
        <v>0</v>
      </c>
      <c r="K24" s="28">
        <f>MAX(0,I24-'Não Apagar'!$J$3)</f>
        <v>0</v>
      </c>
      <c r="L24" s="29">
        <f t="shared" si="3"/>
        <v>0</v>
      </c>
      <c r="P24" s="6">
        <v>1</v>
      </c>
    </row>
    <row r="25" spans="1:16" x14ac:dyDescent="0.25">
      <c r="A25" s="6">
        <v>1</v>
      </c>
      <c r="C25" s="33">
        <f t="shared" si="0"/>
        <v>45821</v>
      </c>
      <c r="D25" s="34" t="str">
        <f>CHOOSE(WEEKDAY(C25,2),'Não Apagar'!$C$3,'Não Apagar'!$C$4,'Não Apagar'!$C$5,'Não Apagar'!$C$6,'Não Apagar'!$C$7,'Não Apagar'!$C$8,'Não Apagar'!$C$9)</f>
        <v>Sexta-feira</v>
      </c>
      <c r="E25" s="37">
        <v>0</v>
      </c>
      <c r="F25" s="37">
        <v>0</v>
      </c>
      <c r="G25" s="37">
        <v>0</v>
      </c>
      <c r="H25" s="37">
        <v>0</v>
      </c>
      <c r="I25" s="27">
        <f t="shared" si="1"/>
        <v>0</v>
      </c>
      <c r="J25" s="27">
        <f>MAX(0,MIN(I25,'Não Apagar'!$J$3))</f>
        <v>0</v>
      </c>
      <c r="K25" s="28">
        <f>MAX(0,I25-'Não Apagar'!$J$3)</f>
        <v>0</v>
      </c>
      <c r="L25" s="29">
        <f t="shared" si="3"/>
        <v>0</v>
      </c>
      <c r="P25" s="6">
        <v>1</v>
      </c>
    </row>
    <row r="26" spans="1:16" x14ac:dyDescent="0.25">
      <c r="A26" s="6">
        <v>1</v>
      </c>
      <c r="C26" s="14">
        <f t="shared" si="0"/>
        <v>45822</v>
      </c>
      <c r="D26" s="15" t="str">
        <f>CHOOSE(WEEKDAY(C26,2),'Não Apagar'!$C$3,'Não Apagar'!$C$4,'Não Apagar'!$C$5,'Não Apagar'!$C$6,'Não Apagar'!$C$7,'Não Apagar'!$C$8,'Não Apagar'!$C$9)</f>
        <v>Sábado</v>
      </c>
      <c r="E26" s="21"/>
      <c r="F26" s="21"/>
      <c r="G26" s="21"/>
      <c r="H26" s="21"/>
      <c r="I26" s="23"/>
      <c r="J26" s="23"/>
      <c r="K26" s="24"/>
      <c r="L26" s="25"/>
      <c r="P26" s="6">
        <v>1</v>
      </c>
    </row>
    <row r="27" spans="1:16" x14ac:dyDescent="0.25">
      <c r="A27" s="6">
        <v>1</v>
      </c>
      <c r="C27" s="14">
        <f t="shared" si="0"/>
        <v>45823</v>
      </c>
      <c r="D27" s="15" t="str">
        <f>CHOOSE(WEEKDAY(C27,2),'Não Apagar'!$C$3,'Não Apagar'!$C$4,'Não Apagar'!$C$5,'Não Apagar'!$C$6,'Não Apagar'!$C$7,'Não Apagar'!$C$8,'Não Apagar'!$C$9)</f>
        <v>Domingo</v>
      </c>
      <c r="E27" s="21"/>
      <c r="F27" s="21"/>
      <c r="G27" s="21"/>
      <c r="H27" s="21"/>
      <c r="I27" s="23"/>
      <c r="J27" s="23"/>
      <c r="K27" s="24"/>
      <c r="L27" s="25"/>
      <c r="P27" s="6">
        <v>1</v>
      </c>
    </row>
    <row r="28" spans="1:16" x14ac:dyDescent="0.25">
      <c r="A28" s="6">
        <v>1</v>
      </c>
      <c r="C28" s="33">
        <f t="shared" si="0"/>
        <v>45824</v>
      </c>
      <c r="D28" s="34" t="str">
        <f>CHOOSE(WEEKDAY(C28,2),'Não Apagar'!$C$3,'Não Apagar'!$C$4,'Não Apagar'!$C$5,'Não Apagar'!$C$6,'Não Apagar'!$C$7,'Não Apagar'!$C$8,'Não Apagar'!$C$9)</f>
        <v>Segunda-feira</v>
      </c>
      <c r="E28" s="37"/>
      <c r="F28" s="37"/>
      <c r="G28" s="37"/>
      <c r="H28" s="37"/>
      <c r="I28" s="27">
        <f t="shared" si="1"/>
        <v>0</v>
      </c>
      <c r="J28" s="27">
        <f>MAX(0,MIN(I28,'Não Apagar'!$J$3))</f>
        <v>0</v>
      </c>
      <c r="K28" s="28">
        <f>MAX(0,I28-'Não Apagar'!$J$3)</f>
        <v>0</v>
      </c>
      <c r="L28" s="29">
        <f>L25+K28</f>
        <v>0</v>
      </c>
      <c r="P28" s="6">
        <v>1</v>
      </c>
    </row>
    <row r="29" spans="1:16" x14ac:dyDescent="0.25">
      <c r="A29" s="6">
        <v>1</v>
      </c>
      <c r="C29" s="33">
        <f t="shared" si="0"/>
        <v>45825</v>
      </c>
      <c r="D29" s="34" t="str">
        <f>CHOOSE(WEEKDAY(C29,2),'Não Apagar'!$C$3,'Não Apagar'!$C$4,'Não Apagar'!$C$5,'Não Apagar'!$C$6,'Não Apagar'!$C$7,'Não Apagar'!$C$8,'Não Apagar'!$C$9)</f>
        <v>Terça-feira</v>
      </c>
      <c r="E29" s="37"/>
      <c r="F29" s="37"/>
      <c r="G29" s="37"/>
      <c r="H29" s="37"/>
      <c r="I29" s="27">
        <f t="shared" si="1"/>
        <v>0</v>
      </c>
      <c r="J29" s="27">
        <f>MAX(0,MIN(I29,'Não Apagar'!$J$3))</f>
        <v>0</v>
      </c>
      <c r="K29" s="28">
        <f>MAX(0,I29-'Não Apagar'!$J$3)</f>
        <v>0</v>
      </c>
      <c r="L29" s="29">
        <f t="shared" ref="L29:L32" si="4">L28+K29</f>
        <v>0</v>
      </c>
      <c r="P29" s="6">
        <v>1</v>
      </c>
    </row>
    <row r="30" spans="1:16" x14ac:dyDescent="0.25">
      <c r="A30" s="6">
        <v>1</v>
      </c>
      <c r="C30" s="33">
        <f t="shared" si="0"/>
        <v>45826</v>
      </c>
      <c r="D30" s="34" t="str">
        <f>CHOOSE(WEEKDAY(C30,2),'Não Apagar'!$C$3,'Não Apagar'!$C$4,'Não Apagar'!$C$5,'Não Apagar'!$C$6,'Não Apagar'!$C$7,'Não Apagar'!$C$8,'Não Apagar'!$C$9)</f>
        <v>Quarta-feira</v>
      </c>
      <c r="E30" s="37"/>
      <c r="F30" s="37"/>
      <c r="G30" s="37"/>
      <c r="H30" s="37"/>
      <c r="I30" s="27">
        <f t="shared" si="1"/>
        <v>0</v>
      </c>
      <c r="J30" s="27">
        <f>MAX(0,MIN(I30,'Não Apagar'!$J$3))</f>
        <v>0</v>
      </c>
      <c r="K30" s="28">
        <f>MAX(0,I30-'Não Apagar'!$J$3)</f>
        <v>0</v>
      </c>
      <c r="L30" s="29">
        <f t="shared" si="4"/>
        <v>0</v>
      </c>
      <c r="P30" s="6">
        <v>1</v>
      </c>
    </row>
    <row r="31" spans="1:16" x14ac:dyDescent="0.25">
      <c r="A31" s="6">
        <v>1</v>
      </c>
      <c r="C31" s="33">
        <f t="shared" si="0"/>
        <v>45827</v>
      </c>
      <c r="D31" s="34" t="str">
        <f>CHOOSE(WEEKDAY(C31,2),'Não Apagar'!$C$3,'Não Apagar'!$C$4,'Não Apagar'!$C$5,'Não Apagar'!$C$6,'Não Apagar'!$C$7,'Não Apagar'!$C$8,'Não Apagar'!$C$9)</f>
        <v>Segunda-feira</v>
      </c>
      <c r="E31" s="37"/>
      <c r="F31" s="37"/>
      <c r="G31" s="37"/>
      <c r="H31" s="37"/>
      <c r="I31" s="27">
        <f t="shared" si="1"/>
        <v>0</v>
      </c>
      <c r="J31" s="27">
        <f>MAX(0,MIN(I31,'Não Apagar'!$J$3))</f>
        <v>0</v>
      </c>
      <c r="K31" s="28">
        <f>MAX(0,I31-'Não Apagar'!$J$3)</f>
        <v>0</v>
      </c>
      <c r="L31" s="29">
        <f t="shared" si="4"/>
        <v>0</v>
      </c>
      <c r="P31" s="6">
        <v>1</v>
      </c>
    </row>
    <row r="32" spans="1:16" x14ac:dyDescent="0.25">
      <c r="A32" s="6">
        <v>1</v>
      </c>
      <c r="C32" s="33">
        <f t="shared" si="0"/>
        <v>45828</v>
      </c>
      <c r="D32" s="34" t="str">
        <f>CHOOSE(WEEKDAY(C32,2),'Não Apagar'!$C$3,'Não Apagar'!$C$4,'Não Apagar'!$C$5,'Não Apagar'!$C$6,'Não Apagar'!$C$7,'Não Apagar'!$C$8,'Não Apagar'!$C$9)</f>
        <v>Sexta-feira</v>
      </c>
      <c r="E32" s="37">
        <v>0</v>
      </c>
      <c r="F32" s="37">
        <v>0</v>
      </c>
      <c r="G32" s="37">
        <v>0.53472222222222221</v>
      </c>
      <c r="H32" s="37">
        <v>0.74652777777777779</v>
      </c>
      <c r="I32" s="27">
        <f t="shared" si="1"/>
        <v>5.0833333333333339</v>
      </c>
      <c r="J32" s="27">
        <f>MAX(0,MIN(I32,'Não Apagar'!$J$3))</f>
        <v>5.0833333333333339</v>
      </c>
      <c r="K32" s="28">
        <f>MAX(0,I32-'Não Apagar'!$J$3)</f>
        <v>0</v>
      </c>
      <c r="L32" s="29">
        <f t="shared" si="4"/>
        <v>0</v>
      </c>
      <c r="P32" s="6">
        <v>1</v>
      </c>
    </row>
    <row r="33" spans="1:16" x14ac:dyDescent="0.25">
      <c r="A33" s="6">
        <v>1</v>
      </c>
      <c r="C33" s="14">
        <f t="shared" si="0"/>
        <v>45829</v>
      </c>
      <c r="D33" s="15" t="str">
        <f>CHOOSE(WEEKDAY(C33,2),'Não Apagar'!$C$3,'Não Apagar'!$C$4,'Não Apagar'!$C$5,'Não Apagar'!$C$6,'Não Apagar'!$C$7,'Não Apagar'!$C$8,'Não Apagar'!$C$9)</f>
        <v>Sábado</v>
      </c>
      <c r="E33" s="21"/>
      <c r="F33" s="21"/>
      <c r="G33" s="21"/>
      <c r="H33" s="21"/>
      <c r="I33" s="23"/>
      <c r="J33" s="23"/>
      <c r="K33" s="24"/>
      <c r="L33" s="25"/>
      <c r="P33" s="6">
        <v>1</v>
      </c>
    </row>
    <row r="34" spans="1:16" x14ac:dyDescent="0.25">
      <c r="A34" s="6">
        <v>1</v>
      </c>
      <c r="C34" s="14">
        <f t="shared" si="0"/>
        <v>45830</v>
      </c>
      <c r="D34" s="15" t="str">
        <f>CHOOSE(WEEKDAY(C34,2),'Não Apagar'!$C$3,'Não Apagar'!$C$4,'Não Apagar'!$C$5,'Não Apagar'!$C$6,'Não Apagar'!$C$7,'Não Apagar'!$C$8,'Não Apagar'!$C$9)</f>
        <v>Domingo</v>
      </c>
      <c r="E34" s="21"/>
      <c r="F34" s="21"/>
      <c r="G34" s="21"/>
      <c r="H34" s="21"/>
      <c r="I34" s="23"/>
      <c r="J34" s="23"/>
      <c r="K34" s="24"/>
      <c r="L34" s="25"/>
      <c r="P34" s="6">
        <v>1</v>
      </c>
    </row>
    <row r="35" spans="1:16" x14ac:dyDescent="0.25">
      <c r="A35" s="6">
        <v>1</v>
      </c>
      <c r="C35" s="33">
        <f t="shared" si="0"/>
        <v>45831</v>
      </c>
      <c r="D35" s="34" t="str">
        <f>CHOOSE(WEEKDAY(C35,2),'Não Apagar'!$C$3,'Não Apagar'!$C$4,'Não Apagar'!$C$5,'Não Apagar'!$C$6,'Não Apagar'!$C$7,'Não Apagar'!$C$8,'Não Apagar'!$C$9)</f>
        <v>Segunda-feira</v>
      </c>
      <c r="E35" s="37"/>
      <c r="F35" s="37"/>
      <c r="G35" s="37"/>
      <c r="H35" s="37"/>
      <c r="I35" s="27">
        <f t="shared" si="1"/>
        <v>0</v>
      </c>
      <c r="J35" s="27">
        <f>MAX(0,MIN(I35,'Não Apagar'!$J$3))</f>
        <v>0</v>
      </c>
      <c r="K35" s="28">
        <f>MAX(0,I35-'Não Apagar'!$J$3)</f>
        <v>0</v>
      </c>
      <c r="L35" s="29">
        <f>L32+K35</f>
        <v>0</v>
      </c>
      <c r="P35" s="6">
        <v>1</v>
      </c>
    </row>
    <row r="36" spans="1:16" x14ac:dyDescent="0.25">
      <c r="A36" s="6">
        <v>1</v>
      </c>
      <c r="C36" s="33">
        <f t="shared" si="0"/>
        <v>45832</v>
      </c>
      <c r="D36" s="34" t="str">
        <f>CHOOSE(WEEKDAY(C36,2),'Não Apagar'!$C$3,'Não Apagar'!$C$4,'Não Apagar'!$C$5,'Não Apagar'!$C$6,'Não Apagar'!$C$7,'Não Apagar'!$C$8,'Não Apagar'!$C$9)</f>
        <v>Terça-feira</v>
      </c>
      <c r="E36" s="37"/>
      <c r="F36" s="37"/>
      <c r="G36" s="37"/>
      <c r="H36" s="37"/>
      <c r="I36" s="27">
        <f t="shared" si="1"/>
        <v>0</v>
      </c>
      <c r="J36" s="27">
        <f>MAX(0,MIN(I36,'Não Apagar'!$J$3))</f>
        <v>0</v>
      </c>
      <c r="K36" s="28">
        <f>MAX(0,I36-'Não Apagar'!$J$3)</f>
        <v>0</v>
      </c>
      <c r="L36" s="29">
        <f t="shared" ref="L36:L39" si="5">L35+K36</f>
        <v>0</v>
      </c>
      <c r="P36" s="6">
        <v>1</v>
      </c>
    </row>
    <row r="37" spans="1:16" x14ac:dyDescent="0.25">
      <c r="A37" s="6">
        <v>1</v>
      </c>
      <c r="C37" s="33">
        <f t="shared" si="0"/>
        <v>45833</v>
      </c>
      <c r="D37" s="34" t="str">
        <f>CHOOSE(WEEKDAY(C37,2),'Não Apagar'!$C$3,'Não Apagar'!$C$4,'Não Apagar'!$C$5,'Não Apagar'!$C$6,'Não Apagar'!$C$7,'Não Apagar'!$C$8,'Não Apagar'!$C$9)</f>
        <v>Quarta-feira</v>
      </c>
      <c r="E37" s="37"/>
      <c r="F37" s="37"/>
      <c r="G37" s="37"/>
      <c r="H37" s="37"/>
      <c r="I37" s="27">
        <f t="shared" si="1"/>
        <v>0</v>
      </c>
      <c r="J37" s="27">
        <f>MAX(0,MIN(I37,'Não Apagar'!$J$3))</f>
        <v>0</v>
      </c>
      <c r="K37" s="28">
        <f>MAX(0,I37-'Não Apagar'!$J$3)</f>
        <v>0</v>
      </c>
      <c r="L37" s="29">
        <f t="shared" si="5"/>
        <v>0</v>
      </c>
      <c r="P37" s="6">
        <v>1</v>
      </c>
    </row>
    <row r="38" spans="1:16" x14ac:dyDescent="0.25">
      <c r="A38" s="6">
        <v>1</v>
      </c>
      <c r="C38" s="33">
        <f t="shared" si="0"/>
        <v>45834</v>
      </c>
      <c r="D38" s="34" t="str">
        <f>CHOOSE(WEEKDAY(C38,2),'Não Apagar'!$C$3,'Não Apagar'!$C$4,'Não Apagar'!$C$5,'Não Apagar'!$C$6,'Não Apagar'!$C$7,'Não Apagar'!$C$8,'Não Apagar'!$C$9)</f>
        <v>Segunda-feira</v>
      </c>
      <c r="E38" s="37"/>
      <c r="F38" s="37"/>
      <c r="G38" s="37"/>
      <c r="H38" s="37"/>
      <c r="I38" s="27">
        <f t="shared" si="1"/>
        <v>0</v>
      </c>
      <c r="J38" s="27">
        <f>MAX(0,MIN(I38,'Não Apagar'!$J$3))</f>
        <v>0</v>
      </c>
      <c r="K38" s="28">
        <f>MAX(0,I38-'Não Apagar'!$J$3)</f>
        <v>0</v>
      </c>
      <c r="L38" s="29">
        <f t="shared" si="5"/>
        <v>0</v>
      </c>
      <c r="P38" s="6">
        <v>1</v>
      </c>
    </row>
    <row r="39" spans="1:16" x14ac:dyDescent="0.25">
      <c r="A39" s="6">
        <v>1</v>
      </c>
      <c r="C39" s="33">
        <f t="shared" si="0"/>
        <v>45835</v>
      </c>
      <c r="D39" s="34" t="str">
        <f>CHOOSE(WEEKDAY(C39,2),'Não Apagar'!$C$3,'Não Apagar'!$C$4,'Não Apagar'!$C$5,'Não Apagar'!$C$6,'Não Apagar'!$C$7,'Não Apagar'!$C$8,'Não Apagar'!$C$9)</f>
        <v>Sexta-feira</v>
      </c>
      <c r="E39" s="37"/>
      <c r="F39" s="37"/>
      <c r="G39" s="37"/>
      <c r="H39" s="37"/>
      <c r="I39" s="27">
        <f t="shared" si="1"/>
        <v>0</v>
      </c>
      <c r="J39" s="27">
        <f>MAX(0,MIN(I39,'Não Apagar'!$J$3))</f>
        <v>0</v>
      </c>
      <c r="K39" s="28">
        <f>MAX(0,I39-'Não Apagar'!$J$3)</f>
        <v>0</v>
      </c>
      <c r="L39" s="29">
        <f t="shared" si="5"/>
        <v>0</v>
      </c>
      <c r="P39" s="6">
        <v>1</v>
      </c>
    </row>
    <row r="40" spans="1:16" x14ac:dyDescent="0.25">
      <c r="A40" s="6">
        <v>1</v>
      </c>
      <c r="C40" s="14">
        <f t="shared" si="0"/>
        <v>45836</v>
      </c>
      <c r="D40" s="15" t="str">
        <f>CHOOSE(WEEKDAY(C40,2),'Não Apagar'!$C$3,'Não Apagar'!$C$4,'Não Apagar'!$C$5,'Não Apagar'!$C$6,'Não Apagar'!$C$7,'Não Apagar'!$C$8,'Não Apagar'!$C$9)</f>
        <v>Sábado</v>
      </c>
      <c r="E40" s="21"/>
      <c r="F40" s="21"/>
      <c r="G40" s="21"/>
      <c r="H40" s="21"/>
      <c r="I40" s="23"/>
      <c r="J40" s="23"/>
      <c r="K40" s="24"/>
      <c r="L40" s="25"/>
      <c r="P40" s="6">
        <v>1</v>
      </c>
    </row>
    <row r="41" spans="1:16" x14ac:dyDescent="0.25">
      <c r="A41" s="6">
        <v>1</v>
      </c>
      <c r="C41" s="14">
        <f t="shared" si="0"/>
        <v>45837</v>
      </c>
      <c r="D41" s="15" t="str">
        <f>CHOOSE(WEEKDAY(C41,2),'Não Apagar'!$C$3,'Não Apagar'!$C$4,'Não Apagar'!$C$5,'Não Apagar'!$C$6,'Não Apagar'!$C$7,'Não Apagar'!$C$8,'Não Apagar'!$C$9)</f>
        <v>Domingo</v>
      </c>
      <c r="E41" s="21"/>
      <c r="F41" s="21"/>
      <c r="G41" s="21"/>
      <c r="H41" s="21"/>
      <c r="I41" s="23"/>
      <c r="J41" s="23"/>
      <c r="K41" s="24"/>
      <c r="L41" s="25"/>
      <c r="P41" s="6">
        <v>1</v>
      </c>
    </row>
    <row r="42" spans="1:16" x14ac:dyDescent="0.25">
      <c r="A42" s="6">
        <v>1</v>
      </c>
      <c r="C42" s="33">
        <f t="shared" si="0"/>
        <v>45838</v>
      </c>
      <c r="D42" s="34" t="str">
        <f>CHOOSE(WEEKDAY(C42,2),'Não Apagar'!$C$3,'Não Apagar'!$C$4,'Não Apagar'!$C$5,'Não Apagar'!$C$6,'Não Apagar'!$C$7,'Não Apagar'!$C$8,'Não Apagar'!$C$9)</f>
        <v>Segunda-feira</v>
      </c>
      <c r="E42" s="35"/>
      <c r="F42" s="35"/>
      <c r="G42" s="35"/>
      <c r="H42" s="35"/>
      <c r="I42" s="27">
        <f t="shared" si="1"/>
        <v>0</v>
      </c>
      <c r="J42" s="27">
        <f>MAX(0,MIN(I42,'Não Apagar'!$J$3))</f>
        <v>0</v>
      </c>
      <c r="K42" s="28">
        <f>MAX(0,I42-'Não Apagar'!$J$3)</f>
        <v>0</v>
      </c>
      <c r="L42" s="29">
        <f>L39+K42</f>
        <v>0</v>
      </c>
      <c r="P42" s="6">
        <v>1</v>
      </c>
    </row>
    <row r="43" spans="1:16" x14ac:dyDescent="0.25">
      <c r="A43" s="6">
        <v>1</v>
      </c>
      <c r="C43" s="33"/>
      <c r="D43" s="34"/>
      <c r="E43" s="35"/>
      <c r="F43" s="35"/>
      <c r="G43" s="35"/>
      <c r="H43" s="35"/>
      <c r="I43" s="27"/>
      <c r="J43" s="27"/>
      <c r="K43" s="28"/>
      <c r="L43" s="36"/>
      <c r="P43" s="6">
        <v>1</v>
      </c>
    </row>
    <row r="44" spans="1:16" x14ac:dyDescent="0.25">
      <c r="A44" s="6">
        <v>1</v>
      </c>
      <c r="P44" s="6">
        <v>1</v>
      </c>
    </row>
    <row r="45" spans="1:16" x14ac:dyDescent="0.25">
      <c r="A45" s="6">
        <v>1</v>
      </c>
      <c r="J45" s="30" t="s">
        <v>19</v>
      </c>
      <c r="K45" s="31"/>
      <c r="L45" s="32">
        <f>IFERROR(INDEX(L13:L42,MATCH(9^9,H13:H42)),Mai.25!L46)</f>
        <v>0</v>
      </c>
      <c r="P45" s="6">
        <v>1</v>
      </c>
    </row>
    <row r="46" spans="1:16" x14ac:dyDescent="0.25">
      <c r="A46" s="6"/>
      <c r="P46" s="6"/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>
        <v>1</v>
      </c>
      <c r="C52" s="22"/>
      <c r="D52" s="22"/>
      <c r="E52" s="22"/>
      <c r="F52" s="22"/>
      <c r="G52" s="22"/>
      <c r="H52" s="22"/>
      <c r="I52" s="22"/>
      <c r="P52" s="6">
        <v>1</v>
      </c>
    </row>
    <row r="53" spans="1:16" x14ac:dyDescent="0.25">
      <c r="A53" s="6">
        <v>1</v>
      </c>
      <c r="C53" s="92">
        <f ca="1">TODAY()</f>
        <v>46037</v>
      </c>
      <c r="D53" s="92"/>
      <c r="E53" s="92"/>
      <c r="F53" s="92"/>
      <c r="G53" s="92"/>
      <c r="H53" s="92"/>
      <c r="I53" s="92"/>
      <c r="P53" s="6">
        <v>1</v>
      </c>
    </row>
    <row r="54" spans="1:16" x14ac:dyDescent="0.25">
      <c r="A54" s="6">
        <v>1</v>
      </c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B61" s="6">
        <v>1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</row>
  </sheetData>
  <mergeCells count="4">
    <mergeCell ref="D5:G5"/>
    <mergeCell ref="D6:G6"/>
    <mergeCell ref="C11:L11"/>
    <mergeCell ref="C53:I5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P62"/>
  <sheetViews>
    <sheetView showGridLines="0" topLeftCell="A11" zoomScale="85" zoomScaleNormal="85" workbookViewId="0">
      <selection activeCell="L20" sqref="L20:L24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20.44140625" style="2" customWidth="1"/>
    <col min="11" max="11" width="22.44140625" style="2" customWidth="1"/>
    <col min="12" max="12" width="35.3320312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27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f>Jun.25!C42</f>
        <v>45838</v>
      </c>
      <c r="D13" s="14" t="str">
        <f>Jun.25!D42</f>
        <v>Segunda-feira</v>
      </c>
      <c r="E13" s="16"/>
      <c r="F13" s="16"/>
      <c r="G13" s="16"/>
      <c r="H13" s="16"/>
      <c r="I13" s="23"/>
      <c r="J13" s="23"/>
      <c r="K13" s="24"/>
      <c r="L13" s="25"/>
      <c r="P13" s="6">
        <v>1</v>
      </c>
    </row>
    <row r="14" spans="1:16" x14ac:dyDescent="0.25">
      <c r="A14" s="6">
        <v>1</v>
      </c>
      <c r="C14" s="17">
        <v>45839</v>
      </c>
      <c r="D14" s="18" t="str">
        <f>CHOOSE(WEEKDAY(C14,2),'Não Apagar'!$C$3,'Não Apagar'!$C$4,'Não Apagar'!$C$5,'Não Apagar'!$C$6,'Não Apagar'!$C$7,'Não Apagar'!$C$8,'Não Apagar'!$C$9)</f>
        <v>Terça-feira</v>
      </c>
      <c r="E14" s="19"/>
      <c r="F14" s="19"/>
      <c r="G14" s="19"/>
      <c r="H14" s="19"/>
      <c r="I14" s="26">
        <f t="shared" ref="I14:I43" si="0">((H14-E14)-(G14-F14))*24</f>
        <v>0</v>
      </c>
      <c r="J14" s="27">
        <f>MAX(0,MIN(I14,'Não Apagar'!$J$3))</f>
        <v>0</v>
      </c>
      <c r="K14" s="28">
        <f>MAX(0,I14-'Não Apagar'!$J$3)</f>
        <v>0</v>
      </c>
      <c r="L14" s="29">
        <f>K14+Jun.25!L45</f>
        <v>0</v>
      </c>
      <c r="P14" s="6">
        <v>1</v>
      </c>
    </row>
    <row r="15" spans="1:16" x14ac:dyDescent="0.25">
      <c r="A15" s="6">
        <v>1</v>
      </c>
      <c r="C15" s="17">
        <f t="shared" ref="C15:C44" si="1">C14+1</f>
        <v>45840</v>
      </c>
      <c r="D15" s="18" t="str">
        <f>CHOOSE(WEEKDAY(C15,2),'Não Apagar'!$C$3,'Não Apagar'!$C$4,'Não Apagar'!$C$5,'Não Apagar'!$C$6,'Não Apagar'!$C$7,'Não Apagar'!$C$8,'Não Apagar'!$C$9)</f>
        <v>Quarta-feira</v>
      </c>
      <c r="E15" s="20"/>
      <c r="F15" s="20"/>
      <c r="G15" s="20"/>
      <c r="H15" s="20"/>
      <c r="I15" s="26">
        <f t="shared" si="0"/>
        <v>0</v>
      </c>
      <c r="J15" s="27">
        <f>MAX(0,MIN(I15,'Não Apagar'!$J$3))</f>
        <v>0</v>
      </c>
      <c r="K15" s="28">
        <f>MAX(0,I15-'Não Apagar'!$J$3)</f>
        <v>0</v>
      </c>
      <c r="L15" s="29">
        <f t="shared" ref="L15:L17" si="2">L14+K15</f>
        <v>0</v>
      </c>
      <c r="P15" s="6">
        <v>1</v>
      </c>
    </row>
    <row r="16" spans="1:16" x14ac:dyDescent="0.25">
      <c r="A16" s="6">
        <v>1</v>
      </c>
      <c r="C16" s="17">
        <f t="shared" si="1"/>
        <v>45841</v>
      </c>
      <c r="D16" s="18" t="str">
        <f>CHOOSE(WEEKDAY(C16,2),'Não Apagar'!$C$3,'Não Apagar'!$C$4,'Não Apagar'!$C$5,'Não Apagar'!$C$6,'Não Apagar'!$C$7,'Não Apagar'!$C$8,'Não Apagar'!$C$9)</f>
        <v>Segunda-feira</v>
      </c>
      <c r="E16" s="20"/>
      <c r="F16" s="20"/>
      <c r="G16" s="20"/>
      <c r="H16" s="20"/>
      <c r="I16" s="26">
        <f t="shared" si="0"/>
        <v>0</v>
      </c>
      <c r="J16" s="27">
        <f>MAX(0,MIN(I16,'Não Apagar'!$J$3))</f>
        <v>0</v>
      </c>
      <c r="K16" s="28">
        <f>MAX(0,I16-'Não Apagar'!$J$3)</f>
        <v>0</v>
      </c>
      <c r="L16" s="29">
        <f t="shared" si="2"/>
        <v>0</v>
      </c>
      <c r="P16" s="6">
        <v>1</v>
      </c>
    </row>
    <row r="17" spans="1:16" x14ac:dyDescent="0.25">
      <c r="A17" s="6">
        <v>1</v>
      </c>
      <c r="C17" s="17">
        <f t="shared" si="1"/>
        <v>45842</v>
      </c>
      <c r="D17" s="18" t="str">
        <f>CHOOSE(WEEKDAY(C17,2),'Não Apagar'!$C$3,'Não Apagar'!$C$4,'Não Apagar'!$C$5,'Não Apagar'!$C$6,'Não Apagar'!$C$7,'Não Apagar'!$C$8,'Não Apagar'!$C$9)</f>
        <v>Sexta-feira</v>
      </c>
      <c r="E17" s="20"/>
      <c r="F17" s="20"/>
      <c r="G17" s="20"/>
      <c r="H17" s="20"/>
      <c r="I17" s="26">
        <f t="shared" si="0"/>
        <v>0</v>
      </c>
      <c r="J17" s="27">
        <f>MAX(0,MIN(I17,'Não Apagar'!$J$3))</f>
        <v>0</v>
      </c>
      <c r="K17" s="28">
        <f>MAX(0,I17-'Não Apagar'!$J$3)</f>
        <v>0</v>
      </c>
      <c r="L17" s="29">
        <f t="shared" si="2"/>
        <v>0</v>
      </c>
      <c r="P17" s="6">
        <v>1</v>
      </c>
    </row>
    <row r="18" spans="1:16" x14ac:dyDescent="0.25">
      <c r="A18" s="6">
        <v>1</v>
      </c>
      <c r="C18" s="14">
        <f t="shared" si="1"/>
        <v>45843</v>
      </c>
      <c r="D18" s="15" t="str">
        <f>CHOOSE(WEEKDAY(C18,2),'Não Apagar'!$C$3,'Não Apagar'!$C$4,'Não Apagar'!$C$5,'Não Apagar'!$C$6,'Não Apagar'!$C$7,'Não Apagar'!$C$8,'Não Apagar'!$C$9)</f>
        <v>Sábado</v>
      </c>
      <c r="E18" s="16"/>
      <c r="F18" s="16"/>
      <c r="G18" s="16"/>
      <c r="H18" s="16"/>
      <c r="I18" s="23"/>
      <c r="J18" s="23"/>
      <c r="K18" s="24"/>
      <c r="L18" s="25"/>
      <c r="P18" s="6">
        <v>1</v>
      </c>
    </row>
    <row r="19" spans="1:16" x14ac:dyDescent="0.25">
      <c r="A19" s="6">
        <v>1</v>
      </c>
      <c r="C19" s="14">
        <f t="shared" si="1"/>
        <v>45844</v>
      </c>
      <c r="D19" s="15" t="str">
        <f>CHOOSE(WEEKDAY(C19,2),'Não Apagar'!$C$3,'Não Apagar'!$C$4,'Não Apagar'!$C$5,'Não Apagar'!$C$6,'Não Apagar'!$C$7,'Não Apagar'!$C$8,'Não Apagar'!$C$9)</f>
        <v>Domingo</v>
      </c>
      <c r="E19" s="16"/>
      <c r="F19" s="16"/>
      <c r="G19" s="16"/>
      <c r="H19" s="16"/>
      <c r="I19" s="23"/>
      <c r="J19" s="23"/>
      <c r="K19" s="24"/>
      <c r="L19" s="25"/>
      <c r="P19" s="6">
        <v>1</v>
      </c>
    </row>
    <row r="20" spans="1:16" x14ac:dyDescent="0.25">
      <c r="A20" s="6">
        <v>1</v>
      </c>
      <c r="C20" s="17">
        <f t="shared" si="1"/>
        <v>45845</v>
      </c>
      <c r="D20" s="18" t="str">
        <f>CHOOSE(WEEKDAY(C20,2),'Não Apagar'!$C$3,'Não Apagar'!$C$4,'Não Apagar'!$C$5,'Não Apagar'!$C$6,'Não Apagar'!$C$7,'Não Apagar'!$C$8,'Não Apagar'!$C$9)</f>
        <v>Segunda-feira</v>
      </c>
      <c r="E20" s="19"/>
      <c r="F20" s="19"/>
      <c r="G20" s="19"/>
      <c r="H20" s="19"/>
      <c r="I20" s="26">
        <f t="shared" si="0"/>
        <v>0</v>
      </c>
      <c r="J20" s="27">
        <f>MAX(0,MIN(I20,'Não Apagar'!$J$3))</f>
        <v>0</v>
      </c>
      <c r="K20" s="28">
        <f>MAX(0,I20-'Não Apagar'!$J$3)</f>
        <v>0</v>
      </c>
      <c r="L20" s="29">
        <f>L17+K20</f>
        <v>0</v>
      </c>
      <c r="P20" s="6">
        <v>1</v>
      </c>
    </row>
    <row r="21" spans="1:16" x14ac:dyDescent="0.25">
      <c r="A21" s="6">
        <v>1</v>
      </c>
      <c r="C21" s="17">
        <f t="shared" si="1"/>
        <v>45846</v>
      </c>
      <c r="D21" s="18" t="str">
        <f>CHOOSE(WEEKDAY(C21,2),'Não Apagar'!$C$3,'Não Apagar'!$C$4,'Não Apagar'!$C$5,'Não Apagar'!$C$6,'Não Apagar'!$C$7,'Não Apagar'!$C$8,'Não Apagar'!$C$9)</f>
        <v>Terça-feira</v>
      </c>
      <c r="E21" s="19"/>
      <c r="F21" s="19"/>
      <c r="G21" s="19"/>
      <c r="H21" s="19"/>
      <c r="I21" s="26">
        <f t="shared" si="0"/>
        <v>0</v>
      </c>
      <c r="J21" s="27">
        <f>MAX(0,MIN(I21,'Não Apagar'!$J$3))</f>
        <v>0</v>
      </c>
      <c r="K21" s="28">
        <f>MAX(0,I21-'Não Apagar'!$J$3)</f>
        <v>0</v>
      </c>
      <c r="L21" s="29">
        <f t="shared" ref="L21:L24" si="3">L20+K21</f>
        <v>0</v>
      </c>
      <c r="P21" s="6">
        <v>1</v>
      </c>
    </row>
    <row r="22" spans="1:16" x14ac:dyDescent="0.25">
      <c r="A22" s="6">
        <v>1</v>
      </c>
      <c r="C22" s="17">
        <f t="shared" si="1"/>
        <v>45847</v>
      </c>
      <c r="D22" s="18" t="str">
        <f>CHOOSE(WEEKDAY(C22,2),'Não Apagar'!$C$3,'Não Apagar'!$C$4,'Não Apagar'!$C$5,'Não Apagar'!$C$6,'Não Apagar'!$C$7,'Não Apagar'!$C$8,'Não Apagar'!$C$9)</f>
        <v>Quarta-feira</v>
      </c>
      <c r="E22" s="20"/>
      <c r="F22" s="20"/>
      <c r="G22" s="20"/>
      <c r="H22" s="20"/>
      <c r="I22" s="26">
        <f t="shared" si="0"/>
        <v>0</v>
      </c>
      <c r="J22" s="27">
        <f>MAX(0,MIN(I22,'Não Apagar'!$J$3))</f>
        <v>0</v>
      </c>
      <c r="K22" s="28">
        <f>MAX(0,I22-'Não Apagar'!$J$3)</f>
        <v>0</v>
      </c>
      <c r="L22" s="29">
        <f t="shared" si="3"/>
        <v>0</v>
      </c>
      <c r="P22" s="6">
        <v>1</v>
      </c>
    </row>
    <row r="23" spans="1:16" x14ac:dyDescent="0.25">
      <c r="A23" s="6">
        <v>1</v>
      </c>
      <c r="C23" s="17">
        <f t="shared" si="1"/>
        <v>45848</v>
      </c>
      <c r="D23" s="18" t="str">
        <f>CHOOSE(WEEKDAY(C23,2),'Não Apagar'!$C$3,'Não Apagar'!$C$4,'Não Apagar'!$C$5,'Não Apagar'!$C$6,'Não Apagar'!$C$7,'Não Apagar'!$C$8,'Não Apagar'!$C$9)</f>
        <v>Segunda-feira</v>
      </c>
      <c r="E23" s="20"/>
      <c r="F23" s="20"/>
      <c r="G23" s="20"/>
      <c r="H23" s="20"/>
      <c r="I23" s="26">
        <f t="shared" si="0"/>
        <v>0</v>
      </c>
      <c r="J23" s="27">
        <f>MAX(0,MIN(I23,'Não Apagar'!$J$3))</f>
        <v>0</v>
      </c>
      <c r="K23" s="28">
        <f>MAX(0,I23-'Não Apagar'!$J$3)</f>
        <v>0</v>
      </c>
      <c r="L23" s="29">
        <f t="shared" si="3"/>
        <v>0</v>
      </c>
      <c r="P23" s="6">
        <v>1</v>
      </c>
    </row>
    <row r="24" spans="1:16" x14ac:dyDescent="0.25">
      <c r="A24" s="6">
        <v>1</v>
      </c>
      <c r="C24" s="17">
        <f t="shared" si="1"/>
        <v>45849</v>
      </c>
      <c r="D24" s="18" t="str">
        <f>CHOOSE(WEEKDAY(C24,2),'Não Apagar'!$C$3,'Não Apagar'!$C$4,'Não Apagar'!$C$5,'Não Apagar'!$C$6,'Não Apagar'!$C$7,'Não Apagar'!$C$8,'Não Apagar'!$C$9)</f>
        <v>Sexta-feira</v>
      </c>
      <c r="E24" s="20"/>
      <c r="F24" s="20"/>
      <c r="G24" s="20"/>
      <c r="H24" s="20"/>
      <c r="I24" s="26">
        <f t="shared" si="0"/>
        <v>0</v>
      </c>
      <c r="J24" s="27">
        <f>MAX(0,MIN(I24,'Não Apagar'!$J$3))</f>
        <v>0</v>
      </c>
      <c r="K24" s="28">
        <f>MAX(0,I24-'Não Apagar'!$J$3)</f>
        <v>0</v>
      </c>
      <c r="L24" s="29">
        <f t="shared" si="3"/>
        <v>0</v>
      </c>
      <c r="P24" s="6">
        <v>1</v>
      </c>
    </row>
    <row r="25" spans="1:16" x14ac:dyDescent="0.25">
      <c r="A25" s="6">
        <v>1</v>
      </c>
      <c r="C25" s="14">
        <f t="shared" si="1"/>
        <v>45850</v>
      </c>
      <c r="D25" s="15" t="str">
        <f>CHOOSE(WEEKDAY(C25,2),'Não Apagar'!$C$3,'Não Apagar'!$C$4,'Não Apagar'!$C$5,'Não Apagar'!$C$6,'Não Apagar'!$C$7,'Não Apagar'!$C$8,'Não Apagar'!$C$9)</f>
        <v>Sábado</v>
      </c>
      <c r="E25" s="16"/>
      <c r="F25" s="16"/>
      <c r="G25" s="16"/>
      <c r="H25" s="16"/>
      <c r="I25" s="23"/>
      <c r="J25" s="23"/>
      <c r="K25" s="24"/>
      <c r="L25" s="25"/>
      <c r="P25" s="6">
        <v>1</v>
      </c>
    </row>
    <row r="26" spans="1:16" x14ac:dyDescent="0.25">
      <c r="A26" s="6">
        <v>1</v>
      </c>
      <c r="C26" s="14">
        <f t="shared" si="1"/>
        <v>45851</v>
      </c>
      <c r="D26" s="15" t="str">
        <f>CHOOSE(WEEKDAY(C26,2),'Não Apagar'!$C$3,'Não Apagar'!$C$4,'Não Apagar'!$C$5,'Não Apagar'!$C$6,'Não Apagar'!$C$7,'Não Apagar'!$C$8,'Não Apagar'!$C$9)</f>
        <v>Domingo</v>
      </c>
      <c r="E26" s="16"/>
      <c r="F26" s="16"/>
      <c r="G26" s="16"/>
      <c r="H26" s="16"/>
      <c r="I26" s="23"/>
      <c r="J26" s="23"/>
      <c r="K26" s="24"/>
      <c r="L26" s="25"/>
      <c r="P26" s="6">
        <v>1</v>
      </c>
    </row>
    <row r="27" spans="1:16" x14ac:dyDescent="0.25">
      <c r="A27" s="6">
        <v>1</v>
      </c>
      <c r="C27" s="17">
        <f t="shared" si="1"/>
        <v>45852</v>
      </c>
      <c r="D27" s="18" t="str">
        <f>CHOOSE(WEEKDAY(C27,2),'Não Apagar'!$C$3,'Não Apagar'!$C$4,'Não Apagar'!$C$5,'Não Apagar'!$C$6,'Não Apagar'!$C$7,'Não Apagar'!$C$8,'Não Apagar'!$C$9)</f>
        <v>Segunda-feira</v>
      </c>
      <c r="E27" s="19"/>
      <c r="F27" s="19"/>
      <c r="G27" s="19"/>
      <c r="H27" s="19"/>
      <c r="I27" s="26">
        <f t="shared" si="0"/>
        <v>0</v>
      </c>
      <c r="J27" s="27">
        <f>MAX(0,MIN(I27,'Não Apagar'!$J$3))</f>
        <v>0</v>
      </c>
      <c r="K27" s="28">
        <f>MAX(0,I27-'Não Apagar'!$J$3)</f>
        <v>0</v>
      </c>
      <c r="L27" s="29">
        <f>L24+K27</f>
        <v>0</v>
      </c>
      <c r="P27" s="6">
        <v>1</v>
      </c>
    </row>
    <row r="28" spans="1:16" x14ac:dyDescent="0.25">
      <c r="A28" s="6">
        <v>1</v>
      </c>
      <c r="C28" s="17">
        <f t="shared" si="1"/>
        <v>45853</v>
      </c>
      <c r="D28" s="18" t="str">
        <f>CHOOSE(WEEKDAY(C28,2),'Não Apagar'!$C$3,'Não Apagar'!$C$4,'Não Apagar'!$C$5,'Não Apagar'!$C$6,'Não Apagar'!$C$7,'Não Apagar'!$C$8,'Não Apagar'!$C$9)</f>
        <v>Terça-feira</v>
      </c>
      <c r="E28" s="19"/>
      <c r="F28" s="19"/>
      <c r="G28" s="19"/>
      <c r="H28" s="19"/>
      <c r="I28" s="26">
        <f t="shared" si="0"/>
        <v>0</v>
      </c>
      <c r="J28" s="27">
        <f>MAX(0,MIN(I28,'Não Apagar'!$J$3))</f>
        <v>0</v>
      </c>
      <c r="K28" s="28">
        <f>MAX(0,I28-'Não Apagar'!$J$3)</f>
        <v>0</v>
      </c>
      <c r="L28" s="29">
        <f t="shared" ref="L28:L31" si="4">L27+K28</f>
        <v>0</v>
      </c>
      <c r="P28" s="6">
        <v>1</v>
      </c>
    </row>
    <row r="29" spans="1:16" x14ac:dyDescent="0.25">
      <c r="A29" s="6">
        <v>1</v>
      </c>
      <c r="C29" s="17">
        <f t="shared" si="1"/>
        <v>45854</v>
      </c>
      <c r="D29" s="18" t="str">
        <f>CHOOSE(WEEKDAY(C29,2),'Não Apagar'!$C$3,'Não Apagar'!$C$4,'Não Apagar'!$C$5,'Não Apagar'!$C$6,'Não Apagar'!$C$7,'Não Apagar'!$C$8,'Não Apagar'!$C$9)</f>
        <v>Quarta-feira</v>
      </c>
      <c r="E29" s="20"/>
      <c r="F29" s="20"/>
      <c r="G29" s="20"/>
      <c r="H29" s="20"/>
      <c r="I29" s="26">
        <f t="shared" si="0"/>
        <v>0</v>
      </c>
      <c r="J29" s="27">
        <f>MAX(0,MIN(I29,'Não Apagar'!$J$3))</f>
        <v>0</v>
      </c>
      <c r="K29" s="28">
        <f>MAX(0,I29-'Não Apagar'!$J$3)</f>
        <v>0</v>
      </c>
      <c r="L29" s="29">
        <f t="shared" si="4"/>
        <v>0</v>
      </c>
      <c r="P29" s="6">
        <v>1</v>
      </c>
    </row>
    <row r="30" spans="1:16" x14ac:dyDescent="0.25">
      <c r="A30" s="6">
        <v>1</v>
      </c>
      <c r="C30" s="17">
        <f t="shared" si="1"/>
        <v>45855</v>
      </c>
      <c r="D30" s="18" t="str">
        <f>CHOOSE(WEEKDAY(C30,2),'Não Apagar'!$C$3,'Não Apagar'!$C$4,'Não Apagar'!$C$5,'Não Apagar'!$C$6,'Não Apagar'!$C$7,'Não Apagar'!$C$8,'Não Apagar'!$C$9)</f>
        <v>Segunda-feira</v>
      </c>
      <c r="E30" s="20"/>
      <c r="F30" s="20"/>
      <c r="G30" s="20"/>
      <c r="H30" s="20"/>
      <c r="I30" s="26">
        <f t="shared" si="0"/>
        <v>0</v>
      </c>
      <c r="J30" s="27">
        <f>MAX(0,MIN(I30,'Não Apagar'!$J$3))</f>
        <v>0</v>
      </c>
      <c r="K30" s="28">
        <f>MAX(0,I30-'Não Apagar'!$J$3)</f>
        <v>0</v>
      </c>
      <c r="L30" s="29">
        <f t="shared" si="4"/>
        <v>0</v>
      </c>
      <c r="P30" s="6">
        <v>1</v>
      </c>
    </row>
    <row r="31" spans="1:16" x14ac:dyDescent="0.25">
      <c r="A31" s="6">
        <v>1</v>
      </c>
      <c r="C31" s="17">
        <f t="shared" si="1"/>
        <v>45856</v>
      </c>
      <c r="D31" s="18" t="str">
        <f>CHOOSE(WEEKDAY(C31,2),'Não Apagar'!$C$3,'Não Apagar'!$C$4,'Não Apagar'!$C$5,'Não Apagar'!$C$6,'Não Apagar'!$C$7,'Não Apagar'!$C$8,'Não Apagar'!$C$9)</f>
        <v>Sexta-feira</v>
      </c>
      <c r="E31" s="20"/>
      <c r="F31" s="20"/>
      <c r="G31" s="20"/>
      <c r="H31" s="20"/>
      <c r="I31" s="26">
        <f t="shared" si="0"/>
        <v>0</v>
      </c>
      <c r="J31" s="27">
        <f>MAX(0,MIN(I31,'Não Apagar'!$J$3))</f>
        <v>0</v>
      </c>
      <c r="K31" s="28">
        <f>MAX(0,I31-'Não Apagar'!$J$3)</f>
        <v>0</v>
      </c>
      <c r="L31" s="29">
        <f t="shared" si="4"/>
        <v>0</v>
      </c>
      <c r="P31" s="6">
        <v>1</v>
      </c>
    </row>
    <row r="32" spans="1:16" x14ac:dyDescent="0.25">
      <c r="A32" s="6">
        <v>1</v>
      </c>
      <c r="C32" s="14">
        <f t="shared" si="1"/>
        <v>45857</v>
      </c>
      <c r="D32" s="15" t="str">
        <f>CHOOSE(WEEKDAY(C32,2),'Não Apagar'!$C$3,'Não Apagar'!$C$4,'Não Apagar'!$C$5,'Não Apagar'!$C$6,'Não Apagar'!$C$7,'Não Apagar'!$C$8,'Não Apagar'!$C$9)</f>
        <v>Sábado</v>
      </c>
      <c r="E32" s="16"/>
      <c r="F32" s="16"/>
      <c r="G32" s="16"/>
      <c r="H32" s="16"/>
      <c r="I32" s="23"/>
      <c r="J32" s="23"/>
      <c r="K32" s="24"/>
      <c r="L32" s="25"/>
      <c r="P32" s="6">
        <v>1</v>
      </c>
    </row>
    <row r="33" spans="1:16" x14ac:dyDescent="0.25">
      <c r="A33" s="6">
        <v>1</v>
      </c>
      <c r="C33" s="14">
        <f t="shared" si="1"/>
        <v>45858</v>
      </c>
      <c r="D33" s="15" t="str">
        <f>CHOOSE(WEEKDAY(C33,2),'Não Apagar'!$C$3,'Não Apagar'!$C$4,'Não Apagar'!$C$5,'Não Apagar'!$C$6,'Não Apagar'!$C$7,'Não Apagar'!$C$8,'Não Apagar'!$C$9)</f>
        <v>Domingo</v>
      </c>
      <c r="E33" s="16"/>
      <c r="F33" s="16"/>
      <c r="G33" s="16"/>
      <c r="H33" s="16"/>
      <c r="I33" s="23"/>
      <c r="J33" s="23"/>
      <c r="K33" s="24"/>
      <c r="L33" s="25"/>
      <c r="P33" s="6">
        <v>1</v>
      </c>
    </row>
    <row r="34" spans="1:16" x14ac:dyDescent="0.25">
      <c r="A34" s="6">
        <v>1</v>
      </c>
      <c r="C34" s="17">
        <f t="shared" si="1"/>
        <v>45859</v>
      </c>
      <c r="D34" s="18" t="str">
        <f>CHOOSE(WEEKDAY(C34,2),'Não Apagar'!$C$3,'Não Apagar'!$C$4,'Não Apagar'!$C$5,'Não Apagar'!$C$6,'Não Apagar'!$C$7,'Não Apagar'!$C$8,'Não Apagar'!$C$9)</f>
        <v>Segunda-feira</v>
      </c>
      <c r="E34" s="19"/>
      <c r="F34" s="19"/>
      <c r="G34" s="19"/>
      <c r="H34" s="19"/>
      <c r="I34" s="26">
        <f t="shared" si="0"/>
        <v>0</v>
      </c>
      <c r="J34" s="27">
        <f>MAX(0,MIN(I34,'Não Apagar'!$J$3))</f>
        <v>0</v>
      </c>
      <c r="K34" s="28">
        <f>MAX(0,I34-'Não Apagar'!$J$3)</f>
        <v>0</v>
      </c>
      <c r="L34" s="29">
        <f>L31+K34</f>
        <v>0</v>
      </c>
      <c r="P34" s="6">
        <v>1</v>
      </c>
    </row>
    <row r="35" spans="1:16" x14ac:dyDescent="0.25">
      <c r="A35" s="6">
        <v>1</v>
      </c>
      <c r="C35" s="17">
        <f t="shared" si="1"/>
        <v>45860</v>
      </c>
      <c r="D35" s="18" t="str">
        <f>CHOOSE(WEEKDAY(C35,2),'Não Apagar'!$C$3,'Não Apagar'!$C$4,'Não Apagar'!$C$5,'Não Apagar'!$C$6,'Não Apagar'!$C$7,'Não Apagar'!$C$8,'Não Apagar'!$C$9)</f>
        <v>Terça-feira</v>
      </c>
      <c r="E35" s="19"/>
      <c r="F35" s="19"/>
      <c r="G35" s="19"/>
      <c r="H35" s="19"/>
      <c r="I35" s="26">
        <f t="shared" si="0"/>
        <v>0</v>
      </c>
      <c r="J35" s="27">
        <f>MAX(0,MIN(I35,'Não Apagar'!$J$3))</f>
        <v>0</v>
      </c>
      <c r="K35" s="28">
        <f>MAX(0,I35-'Não Apagar'!$J$3)</f>
        <v>0</v>
      </c>
      <c r="L35" s="29">
        <f t="shared" ref="L35:L38" si="5">L34+K35</f>
        <v>0</v>
      </c>
      <c r="P35" s="6">
        <v>1</v>
      </c>
    </row>
    <row r="36" spans="1:16" x14ac:dyDescent="0.25">
      <c r="A36" s="6">
        <v>1</v>
      </c>
      <c r="C36" s="17">
        <f t="shared" si="1"/>
        <v>45861</v>
      </c>
      <c r="D36" s="18" t="str">
        <f>CHOOSE(WEEKDAY(C36,2),'Não Apagar'!$C$3,'Não Apagar'!$C$4,'Não Apagar'!$C$5,'Não Apagar'!$C$6,'Não Apagar'!$C$7,'Não Apagar'!$C$8,'Não Apagar'!$C$9)</f>
        <v>Quarta-feira</v>
      </c>
      <c r="E36" s="20"/>
      <c r="F36" s="20"/>
      <c r="G36" s="20"/>
      <c r="H36" s="20"/>
      <c r="I36" s="26">
        <f t="shared" si="0"/>
        <v>0</v>
      </c>
      <c r="J36" s="27">
        <f>MAX(0,MIN(I36,'Não Apagar'!$J$3))</f>
        <v>0</v>
      </c>
      <c r="K36" s="28">
        <f>MAX(0,I36-'Não Apagar'!$J$3)</f>
        <v>0</v>
      </c>
      <c r="L36" s="29">
        <f t="shared" si="5"/>
        <v>0</v>
      </c>
      <c r="P36" s="6">
        <v>1</v>
      </c>
    </row>
    <row r="37" spans="1:16" x14ac:dyDescent="0.25">
      <c r="A37" s="6">
        <v>1</v>
      </c>
      <c r="C37" s="17">
        <f t="shared" si="1"/>
        <v>45862</v>
      </c>
      <c r="D37" s="18" t="str">
        <f>CHOOSE(WEEKDAY(C37,2),'Não Apagar'!$C$3,'Não Apagar'!$C$4,'Não Apagar'!$C$5,'Não Apagar'!$C$6,'Não Apagar'!$C$7,'Não Apagar'!$C$8,'Não Apagar'!$C$9)</f>
        <v>Segunda-feira</v>
      </c>
      <c r="E37" s="20"/>
      <c r="F37" s="20"/>
      <c r="G37" s="20"/>
      <c r="H37" s="20"/>
      <c r="I37" s="26">
        <f t="shared" si="0"/>
        <v>0</v>
      </c>
      <c r="J37" s="27">
        <f>MAX(0,MIN(I37,'Não Apagar'!$J$3))</f>
        <v>0</v>
      </c>
      <c r="K37" s="28">
        <f>MAX(0,I37-'Não Apagar'!$J$3)</f>
        <v>0</v>
      </c>
      <c r="L37" s="29">
        <f t="shared" si="5"/>
        <v>0</v>
      </c>
      <c r="P37" s="6">
        <v>1</v>
      </c>
    </row>
    <row r="38" spans="1:16" x14ac:dyDescent="0.25">
      <c r="A38" s="6">
        <v>1</v>
      </c>
      <c r="C38" s="17">
        <f t="shared" si="1"/>
        <v>45863</v>
      </c>
      <c r="D38" s="18" t="str">
        <f>CHOOSE(WEEKDAY(C38,2),'Não Apagar'!$C$3,'Não Apagar'!$C$4,'Não Apagar'!$C$5,'Não Apagar'!$C$6,'Não Apagar'!$C$7,'Não Apagar'!$C$8,'Não Apagar'!$C$9)</f>
        <v>Sexta-feira</v>
      </c>
      <c r="E38" s="20"/>
      <c r="F38" s="20"/>
      <c r="G38" s="20"/>
      <c r="H38" s="20"/>
      <c r="I38" s="26">
        <f t="shared" si="0"/>
        <v>0</v>
      </c>
      <c r="J38" s="27">
        <f>MAX(0,MIN(I38,'Não Apagar'!$J$3))</f>
        <v>0</v>
      </c>
      <c r="K38" s="28">
        <f>MAX(0,I38-'Não Apagar'!$J$3)</f>
        <v>0</v>
      </c>
      <c r="L38" s="29">
        <f t="shared" si="5"/>
        <v>0</v>
      </c>
      <c r="P38" s="6">
        <v>1</v>
      </c>
    </row>
    <row r="39" spans="1:16" x14ac:dyDescent="0.25">
      <c r="A39" s="6">
        <v>1</v>
      </c>
      <c r="C39" s="14">
        <f t="shared" si="1"/>
        <v>45864</v>
      </c>
      <c r="D39" s="15" t="str">
        <f>CHOOSE(WEEKDAY(C39,2),'Não Apagar'!$C$3,'Não Apagar'!$C$4,'Não Apagar'!$C$5,'Não Apagar'!$C$6,'Não Apagar'!$C$7,'Não Apagar'!$C$8,'Não Apagar'!$C$9)</f>
        <v>Sábado</v>
      </c>
      <c r="E39" s="16"/>
      <c r="F39" s="16"/>
      <c r="G39" s="16"/>
      <c r="H39" s="16"/>
      <c r="I39" s="23"/>
      <c r="J39" s="23"/>
      <c r="K39" s="24"/>
      <c r="L39" s="25"/>
      <c r="P39" s="6">
        <v>1</v>
      </c>
    </row>
    <row r="40" spans="1:16" x14ac:dyDescent="0.25">
      <c r="A40" s="6">
        <v>1</v>
      </c>
      <c r="C40" s="14">
        <f t="shared" si="1"/>
        <v>45865</v>
      </c>
      <c r="D40" s="15" t="str">
        <f>CHOOSE(WEEKDAY(C40,2),'Não Apagar'!$C$3,'Não Apagar'!$C$4,'Não Apagar'!$C$5,'Não Apagar'!$C$6,'Não Apagar'!$C$7,'Não Apagar'!$C$8,'Não Apagar'!$C$9)</f>
        <v>Domingo</v>
      </c>
      <c r="E40" s="16"/>
      <c r="F40" s="16"/>
      <c r="G40" s="16"/>
      <c r="H40" s="16"/>
      <c r="I40" s="23"/>
      <c r="J40" s="23"/>
      <c r="K40" s="24"/>
      <c r="L40" s="25"/>
      <c r="P40" s="6">
        <v>1</v>
      </c>
    </row>
    <row r="41" spans="1:16" x14ac:dyDescent="0.25">
      <c r="A41" s="6">
        <v>1</v>
      </c>
      <c r="C41" s="17">
        <f t="shared" si="1"/>
        <v>45866</v>
      </c>
      <c r="D41" s="18" t="str">
        <f>CHOOSE(WEEKDAY(C41,2),'Não Apagar'!$C$3,'Não Apagar'!$C$4,'Não Apagar'!$C$5,'Não Apagar'!$C$6,'Não Apagar'!$C$7,'Não Apagar'!$C$8,'Não Apagar'!$C$9)</f>
        <v>Segunda-feira</v>
      </c>
      <c r="E41" s="19"/>
      <c r="F41" s="19"/>
      <c r="G41" s="19"/>
      <c r="H41" s="19"/>
      <c r="I41" s="26">
        <f t="shared" si="0"/>
        <v>0</v>
      </c>
      <c r="J41" s="27">
        <f>MAX(0,MIN(I41,'Não Apagar'!$J$3))</f>
        <v>0</v>
      </c>
      <c r="K41" s="28">
        <f>MAX(0,I41-'Não Apagar'!$J$3)</f>
        <v>0</v>
      </c>
      <c r="L41" s="29">
        <f>L38+K41</f>
        <v>0</v>
      </c>
      <c r="P41" s="6">
        <v>1</v>
      </c>
    </row>
    <row r="42" spans="1:16" x14ac:dyDescent="0.25">
      <c r="A42" s="6">
        <v>1</v>
      </c>
      <c r="C42" s="17">
        <f t="shared" si="1"/>
        <v>45867</v>
      </c>
      <c r="D42" s="18" t="str">
        <f>CHOOSE(WEEKDAY(C42,2),'Não Apagar'!$C$3,'Não Apagar'!$C$4,'Não Apagar'!$C$5,'Não Apagar'!$C$6,'Não Apagar'!$C$7,'Não Apagar'!$C$8,'Não Apagar'!$C$9)</f>
        <v>Terça-feira</v>
      </c>
      <c r="E42" s="19"/>
      <c r="F42" s="19"/>
      <c r="G42" s="19"/>
      <c r="H42" s="19"/>
      <c r="I42" s="26">
        <f t="shared" si="0"/>
        <v>0</v>
      </c>
      <c r="J42" s="27">
        <f>MAX(0,MIN(I42,'Não Apagar'!$J$3))</f>
        <v>0</v>
      </c>
      <c r="K42" s="28">
        <f>MAX(0,I42-'Não Apagar'!$J$3)</f>
        <v>0</v>
      </c>
      <c r="L42" s="29">
        <f t="shared" ref="L42:L44" si="6">L41+K42</f>
        <v>0</v>
      </c>
      <c r="P42" s="6">
        <v>1</v>
      </c>
    </row>
    <row r="43" spans="1:16" x14ac:dyDescent="0.25">
      <c r="A43" s="6">
        <v>1</v>
      </c>
      <c r="C43" s="17">
        <f t="shared" si="1"/>
        <v>45868</v>
      </c>
      <c r="D43" s="18" t="str">
        <f>CHOOSE(WEEKDAY(C43,2),'Não Apagar'!$C$3,'Não Apagar'!$C$4,'Não Apagar'!$C$5,'Não Apagar'!$C$6,'Não Apagar'!$C$7,'Não Apagar'!$C$8,'Não Apagar'!$C$9)</f>
        <v>Quarta-feira</v>
      </c>
      <c r="E43" s="19"/>
      <c r="F43" s="19"/>
      <c r="G43" s="19"/>
      <c r="H43" s="19"/>
      <c r="I43" s="26">
        <f t="shared" si="0"/>
        <v>0</v>
      </c>
      <c r="J43" s="27">
        <f>MAX(0,MIN(I43,'Não Apagar'!$J$3))</f>
        <v>0</v>
      </c>
      <c r="K43" s="28">
        <f>MAX(0,I43-'Não Apagar'!$J$3)</f>
        <v>0</v>
      </c>
      <c r="L43" s="29">
        <f t="shared" si="6"/>
        <v>0</v>
      </c>
      <c r="P43" s="6">
        <v>1</v>
      </c>
    </row>
    <row r="44" spans="1:16" x14ac:dyDescent="0.25">
      <c r="A44" s="6">
        <v>1</v>
      </c>
      <c r="C44" s="17">
        <f t="shared" si="1"/>
        <v>45869</v>
      </c>
      <c r="D44" s="18" t="str">
        <f>CHOOSE(WEEKDAY(C44,2),'Não Apagar'!$C$3,'Não Apagar'!$C$4,'Não Apagar'!$C$5,'Não Apagar'!$C$6,'Não Apagar'!$C$7,'Não Apagar'!$C$8,'Não Apagar'!$C$9)</f>
        <v>Segunda-feira</v>
      </c>
      <c r="E44" s="19"/>
      <c r="F44" s="19"/>
      <c r="G44" s="19"/>
      <c r="H44" s="19"/>
      <c r="I44" s="26">
        <f t="shared" ref="I44" si="7">((H44-E44)-(G44-F44))*24</f>
        <v>0</v>
      </c>
      <c r="J44" s="27">
        <f>MAX(0,MIN(I44,'Não Apagar'!$J$3))</f>
        <v>0</v>
      </c>
      <c r="K44" s="28">
        <f>MAX(0,I44-'Não Apagar'!$J$3)</f>
        <v>0</v>
      </c>
      <c r="L44" s="29">
        <f t="shared" si="6"/>
        <v>0</v>
      </c>
      <c r="P44" s="6">
        <v>1</v>
      </c>
    </row>
    <row r="45" spans="1:16" x14ac:dyDescent="0.25">
      <c r="A45" s="6">
        <v>1</v>
      </c>
      <c r="L45" s="29"/>
      <c r="P45" s="6">
        <v>1</v>
      </c>
    </row>
    <row r="46" spans="1:16" x14ac:dyDescent="0.25">
      <c r="A46" s="6">
        <v>1</v>
      </c>
      <c r="J46" s="30" t="s">
        <v>19</v>
      </c>
      <c r="K46" s="31"/>
      <c r="L46" s="32">
        <f>IFERROR(INDEX(L14:L44,MATCH(9^9,H14:H43)),Jun.25!L45)</f>
        <v>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22"/>
      <c r="F53" s="22"/>
      <c r="G53" s="22"/>
      <c r="H53" s="22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/>
  <dimension ref="A1:P62"/>
  <sheetViews>
    <sheetView showGridLines="0" topLeftCell="A11" zoomScale="85" zoomScaleNormal="85" workbookViewId="0">
      <selection activeCell="E24" sqref="E24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2" customWidth="1"/>
    <col min="9" max="9" width="14" style="2" customWidth="1"/>
    <col min="10" max="10" width="17.6640625" style="2" customWidth="1"/>
    <col min="11" max="11" width="18" style="2" customWidth="1"/>
    <col min="12" max="12" width="35.33203125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6">
        <v>1</v>
      </c>
      <c r="F1" s="6">
        <v>1</v>
      </c>
      <c r="G1" s="6">
        <v>1</v>
      </c>
      <c r="H1" s="6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2" t="s">
        <v>1</v>
      </c>
      <c r="D4" s="10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2" t="s">
        <v>3</v>
      </c>
      <c r="D5" s="89"/>
      <c r="E5" s="89"/>
      <c r="F5" s="89"/>
      <c r="G5" s="89"/>
      <c r="P5" s="6">
        <v>1</v>
      </c>
    </row>
    <row r="6" spans="1:16" x14ac:dyDescent="0.25">
      <c r="A6" s="6">
        <v>1</v>
      </c>
      <c r="C6" s="2" t="s">
        <v>4</v>
      </c>
      <c r="D6" s="90" t="s">
        <v>28</v>
      </c>
      <c r="E6" s="90"/>
      <c r="F6" s="90"/>
      <c r="G6" s="90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3" t="s">
        <v>10</v>
      </c>
      <c r="F12" s="13" t="s">
        <v>11</v>
      </c>
      <c r="G12" s="13" t="s">
        <v>12</v>
      </c>
      <c r="H12" s="13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14">
        <f>Jul.25!C44</f>
        <v>45869</v>
      </c>
      <c r="D13" s="14" t="str">
        <f>Jul.25!D44</f>
        <v>Segunda-feira</v>
      </c>
      <c r="E13" s="16"/>
      <c r="F13" s="16"/>
      <c r="G13" s="16"/>
      <c r="H13" s="16"/>
      <c r="I13" s="23"/>
      <c r="J13" s="23"/>
      <c r="K13" s="24"/>
      <c r="L13" s="25"/>
      <c r="P13" s="6">
        <v>1</v>
      </c>
    </row>
    <row r="14" spans="1:16" x14ac:dyDescent="0.25">
      <c r="A14" s="6">
        <v>1</v>
      </c>
      <c r="C14" s="17">
        <v>45870</v>
      </c>
      <c r="D14" s="18" t="str">
        <f>CHOOSE(WEEKDAY(C14,2),'Não Apagar'!$C$3,'Não Apagar'!$C$4,'Não Apagar'!$C$5,'Não Apagar'!$C$6,'Não Apagar'!$C$7,'Não Apagar'!$C$8,'Não Apagar'!$C$9)</f>
        <v>Sexta-feira</v>
      </c>
      <c r="E14" s="19"/>
      <c r="F14" s="19"/>
      <c r="G14" s="19"/>
      <c r="H14" s="19"/>
      <c r="I14" s="26">
        <f t="shared" ref="I14:I42" si="0">((H14-E14)-(G14-F14))*24</f>
        <v>0</v>
      </c>
      <c r="J14" s="27">
        <f>MAX(0,MIN(I14,'Não Apagar'!$J$3))</f>
        <v>0</v>
      </c>
      <c r="K14" s="28">
        <f>MAX(0,I14-'Não Apagar'!$J$3)</f>
        <v>0</v>
      </c>
      <c r="L14" s="29">
        <f>K14+Jul.25!L46</f>
        <v>0</v>
      </c>
      <c r="P14" s="6">
        <v>1</v>
      </c>
    </row>
    <row r="15" spans="1:16" x14ac:dyDescent="0.25">
      <c r="A15" s="6">
        <v>1</v>
      </c>
      <c r="C15" s="14">
        <f t="shared" ref="C15:C44" si="1">C14+1</f>
        <v>45871</v>
      </c>
      <c r="D15" s="15" t="str">
        <f>CHOOSE(WEEKDAY(C15,2),'Não Apagar'!$C$3,'Não Apagar'!$C$4,'Não Apagar'!$C$5,'Não Apagar'!$C$6,'Não Apagar'!$C$7,'Não Apagar'!$C$8,'Não Apagar'!$C$9)</f>
        <v>Sábado</v>
      </c>
      <c r="E15" s="16"/>
      <c r="F15" s="16"/>
      <c r="G15" s="16"/>
      <c r="H15" s="16"/>
      <c r="I15" s="23"/>
      <c r="J15" s="23"/>
      <c r="K15" s="24"/>
      <c r="L15" s="25"/>
      <c r="P15" s="6">
        <v>1</v>
      </c>
    </row>
    <row r="16" spans="1:16" x14ac:dyDescent="0.25">
      <c r="A16" s="6">
        <v>1</v>
      </c>
      <c r="C16" s="14">
        <f t="shared" si="1"/>
        <v>45872</v>
      </c>
      <c r="D16" s="15" t="str">
        <f>CHOOSE(WEEKDAY(C16,2),'Não Apagar'!$C$3,'Não Apagar'!$C$4,'Não Apagar'!$C$5,'Não Apagar'!$C$6,'Não Apagar'!$C$7,'Não Apagar'!$C$8,'Não Apagar'!$C$9)</f>
        <v>Domingo</v>
      </c>
      <c r="E16" s="16"/>
      <c r="F16" s="16"/>
      <c r="G16" s="16"/>
      <c r="H16" s="16"/>
      <c r="I16" s="23"/>
      <c r="J16" s="23"/>
      <c r="K16" s="24"/>
      <c r="L16" s="25"/>
      <c r="P16" s="6">
        <v>1</v>
      </c>
    </row>
    <row r="17" spans="1:16" x14ac:dyDescent="0.25">
      <c r="A17" s="6">
        <v>1</v>
      </c>
      <c r="C17" s="17">
        <f t="shared" si="1"/>
        <v>45873</v>
      </c>
      <c r="D17" s="18" t="str">
        <f>CHOOSE(WEEKDAY(C17,2),'Não Apagar'!$C$3,'Não Apagar'!$C$4,'Não Apagar'!$C$5,'Não Apagar'!$C$6,'Não Apagar'!$C$7,'Não Apagar'!$C$8,'Não Apagar'!$C$9)</f>
        <v>Segunda-feira</v>
      </c>
      <c r="E17" s="20"/>
      <c r="F17" s="20"/>
      <c r="G17" s="20"/>
      <c r="H17" s="20"/>
      <c r="I17" s="26">
        <f t="shared" si="0"/>
        <v>0</v>
      </c>
      <c r="J17" s="27">
        <f>MAX(0,MIN(I17,'Não Apagar'!$J$3))</f>
        <v>0</v>
      </c>
      <c r="K17" s="28">
        <f>MAX(0,I17-'Não Apagar'!$J$3)</f>
        <v>0</v>
      </c>
      <c r="L17" s="29">
        <f>L14+K17</f>
        <v>0</v>
      </c>
      <c r="P17" s="6">
        <v>1</v>
      </c>
    </row>
    <row r="18" spans="1:16" x14ac:dyDescent="0.25">
      <c r="A18" s="6">
        <v>1</v>
      </c>
      <c r="C18" s="17">
        <f t="shared" si="1"/>
        <v>45874</v>
      </c>
      <c r="D18" s="18" t="str">
        <f>CHOOSE(WEEKDAY(C18,2),'Não Apagar'!$C$3,'Não Apagar'!$C$4,'Não Apagar'!$C$5,'Não Apagar'!$C$6,'Não Apagar'!$C$7,'Não Apagar'!$C$8,'Não Apagar'!$C$9)</f>
        <v>Terça-feira</v>
      </c>
      <c r="E18" s="20"/>
      <c r="F18" s="20"/>
      <c r="G18" s="20"/>
      <c r="H18" s="20"/>
      <c r="I18" s="26">
        <f t="shared" si="0"/>
        <v>0</v>
      </c>
      <c r="J18" s="27">
        <f>MAX(0,MIN(I18,'Não Apagar'!$J$3))</f>
        <v>0</v>
      </c>
      <c r="K18" s="28">
        <f>MAX(0,I18-'Não Apagar'!$J$3)</f>
        <v>0</v>
      </c>
      <c r="L18" s="29">
        <f t="shared" ref="L18:L21" si="2">L17+K18</f>
        <v>0</v>
      </c>
      <c r="P18" s="6">
        <v>1</v>
      </c>
    </row>
    <row r="19" spans="1:16" x14ac:dyDescent="0.25">
      <c r="A19" s="6">
        <v>1</v>
      </c>
      <c r="C19" s="17">
        <f t="shared" si="1"/>
        <v>45875</v>
      </c>
      <c r="D19" s="18" t="str">
        <f>CHOOSE(WEEKDAY(C19,2),'Não Apagar'!$C$3,'Não Apagar'!$C$4,'Não Apagar'!$C$5,'Não Apagar'!$C$6,'Não Apagar'!$C$7,'Não Apagar'!$C$8,'Não Apagar'!$C$9)</f>
        <v>Quarta-feira</v>
      </c>
      <c r="E19" s="20"/>
      <c r="F19" s="20"/>
      <c r="G19" s="20"/>
      <c r="H19" s="20"/>
      <c r="I19" s="26">
        <f t="shared" si="0"/>
        <v>0</v>
      </c>
      <c r="J19" s="27">
        <f>MAX(0,MIN(I19,'Não Apagar'!$J$3))</f>
        <v>0</v>
      </c>
      <c r="K19" s="28">
        <f>MAX(0,I19-'Não Apagar'!$J$3)</f>
        <v>0</v>
      </c>
      <c r="L19" s="29">
        <f t="shared" si="2"/>
        <v>0</v>
      </c>
      <c r="P19" s="6">
        <v>1</v>
      </c>
    </row>
    <row r="20" spans="1:16" x14ac:dyDescent="0.25">
      <c r="A20" s="6">
        <v>1</v>
      </c>
      <c r="C20" s="17">
        <f t="shared" si="1"/>
        <v>45876</v>
      </c>
      <c r="D20" s="18" t="str">
        <f>CHOOSE(WEEKDAY(C20,2),'Não Apagar'!$C$3,'Não Apagar'!$C$4,'Não Apagar'!$C$5,'Não Apagar'!$C$6,'Não Apagar'!$C$7,'Não Apagar'!$C$8,'Não Apagar'!$C$9)</f>
        <v>Segunda-feira</v>
      </c>
      <c r="E20" s="19"/>
      <c r="F20" s="19"/>
      <c r="G20" s="19"/>
      <c r="H20" s="19"/>
      <c r="I20" s="26">
        <f t="shared" si="0"/>
        <v>0</v>
      </c>
      <c r="J20" s="27">
        <f>MAX(0,MIN(I20,'Não Apagar'!$J$3))</f>
        <v>0</v>
      </c>
      <c r="K20" s="28">
        <f>MAX(0,I20-'Não Apagar'!$J$3)</f>
        <v>0</v>
      </c>
      <c r="L20" s="29">
        <f t="shared" si="2"/>
        <v>0</v>
      </c>
      <c r="P20" s="6">
        <v>1</v>
      </c>
    </row>
    <row r="21" spans="1:16" x14ac:dyDescent="0.25">
      <c r="A21" s="6">
        <v>1</v>
      </c>
      <c r="C21" s="17">
        <f t="shared" si="1"/>
        <v>45877</v>
      </c>
      <c r="D21" s="18" t="str">
        <f>CHOOSE(WEEKDAY(C21,2),'Não Apagar'!$C$3,'Não Apagar'!$C$4,'Não Apagar'!$C$5,'Não Apagar'!$C$6,'Não Apagar'!$C$7,'Não Apagar'!$C$8,'Não Apagar'!$C$9)</f>
        <v>Sexta-feira</v>
      </c>
      <c r="E21" s="19"/>
      <c r="F21" s="19"/>
      <c r="G21" s="19"/>
      <c r="H21" s="19"/>
      <c r="I21" s="26">
        <f t="shared" si="0"/>
        <v>0</v>
      </c>
      <c r="J21" s="27">
        <f>MAX(0,MIN(I21,'Não Apagar'!$J$3))</f>
        <v>0</v>
      </c>
      <c r="K21" s="28">
        <f>MAX(0,I21-'Não Apagar'!$J$3)</f>
        <v>0</v>
      </c>
      <c r="L21" s="29">
        <f t="shared" si="2"/>
        <v>0</v>
      </c>
      <c r="P21" s="6">
        <v>1</v>
      </c>
    </row>
    <row r="22" spans="1:16" x14ac:dyDescent="0.25">
      <c r="A22" s="6">
        <v>1</v>
      </c>
      <c r="C22" s="14">
        <f t="shared" si="1"/>
        <v>45878</v>
      </c>
      <c r="D22" s="15" t="str">
        <f>CHOOSE(WEEKDAY(C22,2),'Não Apagar'!$C$3,'Não Apagar'!$C$4,'Não Apagar'!$C$5,'Não Apagar'!$C$6,'Não Apagar'!$C$7,'Não Apagar'!$C$8,'Não Apagar'!$C$9)</f>
        <v>Sábado</v>
      </c>
      <c r="E22" s="16"/>
      <c r="F22" s="16"/>
      <c r="G22" s="16"/>
      <c r="H22" s="16"/>
      <c r="I22" s="23"/>
      <c r="J22" s="23"/>
      <c r="K22" s="24"/>
      <c r="L22" s="25"/>
      <c r="P22" s="6">
        <v>1</v>
      </c>
    </row>
    <row r="23" spans="1:16" x14ac:dyDescent="0.25">
      <c r="A23" s="6">
        <v>1</v>
      </c>
      <c r="C23" s="14">
        <f t="shared" si="1"/>
        <v>45879</v>
      </c>
      <c r="D23" s="15" t="str">
        <f>CHOOSE(WEEKDAY(C23,2),'Não Apagar'!$C$3,'Não Apagar'!$C$4,'Não Apagar'!$C$5,'Não Apagar'!$C$6,'Não Apagar'!$C$7,'Não Apagar'!$C$8,'Não Apagar'!$C$9)</f>
        <v>Domingo</v>
      </c>
      <c r="E23" s="16"/>
      <c r="F23" s="16"/>
      <c r="G23" s="16"/>
      <c r="H23" s="16"/>
      <c r="I23" s="23"/>
      <c r="J23" s="23"/>
      <c r="K23" s="24"/>
      <c r="L23" s="25"/>
      <c r="P23" s="6">
        <v>1</v>
      </c>
    </row>
    <row r="24" spans="1:16" x14ac:dyDescent="0.25">
      <c r="A24" s="6">
        <v>1</v>
      </c>
      <c r="C24" s="17">
        <f t="shared" si="1"/>
        <v>45880</v>
      </c>
      <c r="D24" s="18" t="str">
        <f>CHOOSE(WEEKDAY(C24,2),'Não Apagar'!$C$3,'Não Apagar'!$C$4,'Não Apagar'!$C$5,'Não Apagar'!$C$6,'Não Apagar'!$C$7,'Não Apagar'!$C$8,'Não Apagar'!$C$9)</f>
        <v>Segunda-feira</v>
      </c>
      <c r="E24" s="20"/>
      <c r="F24" s="20"/>
      <c r="G24" s="20"/>
      <c r="H24" s="20"/>
      <c r="I24" s="26">
        <f t="shared" si="0"/>
        <v>0</v>
      </c>
      <c r="J24" s="27">
        <f>MAX(0,MIN(I24,'Não Apagar'!$J$3))</f>
        <v>0</v>
      </c>
      <c r="K24" s="28">
        <f>MAX(0,I24-'Não Apagar'!$J$3)</f>
        <v>0</v>
      </c>
      <c r="L24" s="29">
        <f>L21+K24</f>
        <v>0</v>
      </c>
      <c r="P24" s="6">
        <v>1</v>
      </c>
    </row>
    <row r="25" spans="1:16" x14ac:dyDescent="0.25">
      <c r="A25" s="6">
        <v>1</v>
      </c>
      <c r="C25" s="17">
        <f t="shared" si="1"/>
        <v>45881</v>
      </c>
      <c r="D25" s="18" t="str">
        <f>CHOOSE(WEEKDAY(C25,2),'Não Apagar'!$C$3,'Não Apagar'!$C$4,'Não Apagar'!$C$5,'Não Apagar'!$C$6,'Não Apagar'!$C$7,'Não Apagar'!$C$8,'Não Apagar'!$C$9)</f>
        <v>Terça-feira</v>
      </c>
      <c r="E25" s="20"/>
      <c r="F25" s="20"/>
      <c r="G25" s="20"/>
      <c r="H25" s="20"/>
      <c r="I25" s="26">
        <f t="shared" si="0"/>
        <v>0</v>
      </c>
      <c r="J25" s="27">
        <f>MAX(0,MIN(I25,'Não Apagar'!$J$3))</f>
        <v>0</v>
      </c>
      <c r="K25" s="28">
        <f>MAX(0,I25-'Não Apagar'!$J$3)</f>
        <v>0</v>
      </c>
      <c r="L25" s="29">
        <f t="shared" ref="L25:L28" si="3">L24+K25</f>
        <v>0</v>
      </c>
      <c r="P25" s="6">
        <v>1</v>
      </c>
    </row>
    <row r="26" spans="1:16" x14ac:dyDescent="0.25">
      <c r="A26" s="6">
        <v>1</v>
      </c>
      <c r="C26" s="17">
        <f t="shared" si="1"/>
        <v>45882</v>
      </c>
      <c r="D26" s="18" t="str">
        <f>CHOOSE(WEEKDAY(C26,2),'Não Apagar'!$C$3,'Não Apagar'!$C$4,'Não Apagar'!$C$5,'Não Apagar'!$C$6,'Não Apagar'!$C$7,'Não Apagar'!$C$8,'Não Apagar'!$C$9)</f>
        <v>Quarta-feira</v>
      </c>
      <c r="E26" s="20"/>
      <c r="F26" s="20"/>
      <c r="G26" s="20"/>
      <c r="H26" s="20"/>
      <c r="I26" s="26">
        <f t="shared" si="0"/>
        <v>0</v>
      </c>
      <c r="J26" s="27">
        <f>MAX(0,MIN(I26,'Não Apagar'!$J$3))</f>
        <v>0</v>
      </c>
      <c r="K26" s="28">
        <f>MAX(0,I26-'Não Apagar'!$J$3)</f>
        <v>0</v>
      </c>
      <c r="L26" s="29">
        <f t="shared" si="3"/>
        <v>0</v>
      </c>
      <c r="P26" s="6">
        <v>1</v>
      </c>
    </row>
    <row r="27" spans="1:16" x14ac:dyDescent="0.25">
      <c r="A27" s="6">
        <v>1</v>
      </c>
      <c r="C27" s="17">
        <f t="shared" si="1"/>
        <v>45883</v>
      </c>
      <c r="D27" s="18" t="str">
        <f>CHOOSE(WEEKDAY(C27,2),'Não Apagar'!$C$3,'Não Apagar'!$C$4,'Não Apagar'!$C$5,'Não Apagar'!$C$6,'Não Apagar'!$C$7,'Não Apagar'!$C$8,'Não Apagar'!$C$9)</f>
        <v>Segunda-feira</v>
      </c>
      <c r="E27" s="19"/>
      <c r="F27" s="19"/>
      <c r="G27" s="19"/>
      <c r="H27" s="19"/>
      <c r="I27" s="26">
        <f t="shared" si="0"/>
        <v>0</v>
      </c>
      <c r="J27" s="27">
        <f>MAX(0,MIN(I27,'Não Apagar'!$J$3))</f>
        <v>0</v>
      </c>
      <c r="K27" s="28">
        <f>MAX(0,I27-'Não Apagar'!$J$3)</f>
        <v>0</v>
      </c>
      <c r="L27" s="29">
        <f t="shared" si="3"/>
        <v>0</v>
      </c>
      <c r="P27" s="6">
        <v>1</v>
      </c>
    </row>
    <row r="28" spans="1:16" x14ac:dyDescent="0.25">
      <c r="A28" s="6">
        <v>1</v>
      </c>
      <c r="C28" s="17">
        <f t="shared" si="1"/>
        <v>45884</v>
      </c>
      <c r="D28" s="18" t="str">
        <f>CHOOSE(WEEKDAY(C28,2),'Não Apagar'!$C$3,'Não Apagar'!$C$4,'Não Apagar'!$C$5,'Não Apagar'!$C$6,'Não Apagar'!$C$7,'Não Apagar'!$C$8,'Não Apagar'!$C$9)</f>
        <v>Sexta-feira</v>
      </c>
      <c r="E28" s="19"/>
      <c r="F28" s="19"/>
      <c r="G28" s="19"/>
      <c r="H28" s="19"/>
      <c r="I28" s="26">
        <f t="shared" si="0"/>
        <v>0</v>
      </c>
      <c r="J28" s="27">
        <f>MAX(0,MIN(I28,'Não Apagar'!$J$3))</f>
        <v>0</v>
      </c>
      <c r="K28" s="28">
        <f>MAX(0,I28-'Não Apagar'!$J$3)</f>
        <v>0</v>
      </c>
      <c r="L28" s="29">
        <f t="shared" si="3"/>
        <v>0</v>
      </c>
      <c r="P28" s="6">
        <v>1</v>
      </c>
    </row>
    <row r="29" spans="1:16" x14ac:dyDescent="0.25">
      <c r="A29" s="6">
        <v>1</v>
      </c>
      <c r="C29" s="14">
        <f t="shared" si="1"/>
        <v>45885</v>
      </c>
      <c r="D29" s="15" t="str">
        <f>CHOOSE(WEEKDAY(C29,2),'Não Apagar'!$C$3,'Não Apagar'!$C$4,'Não Apagar'!$C$5,'Não Apagar'!$C$6,'Não Apagar'!$C$7,'Não Apagar'!$C$8,'Não Apagar'!$C$9)</f>
        <v>Sábado</v>
      </c>
      <c r="E29" s="16"/>
      <c r="F29" s="16"/>
      <c r="G29" s="16"/>
      <c r="H29" s="16"/>
      <c r="I29" s="23"/>
      <c r="J29" s="23"/>
      <c r="K29" s="24"/>
      <c r="L29" s="25"/>
      <c r="P29" s="6">
        <v>1</v>
      </c>
    </row>
    <row r="30" spans="1:16" x14ac:dyDescent="0.25">
      <c r="A30" s="6">
        <v>1</v>
      </c>
      <c r="C30" s="14">
        <f t="shared" si="1"/>
        <v>45886</v>
      </c>
      <c r="D30" s="15" t="str">
        <f>CHOOSE(WEEKDAY(C30,2),'Não Apagar'!$C$3,'Não Apagar'!$C$4,'Não Apagar'!$C$5,'Não Apagar'!$C$6,'Não Apagar'!$C$7,'Não Apagar'!$C$8,'Não Apagar'!$C$9)</f>
        <v>Domingo</v>
      </c>
      <c r="E30" s="16"/>
      <c r="F30" s="16"/>
      <c r="G30" s="16"/>
      <c r="H30" s="16"/>
      <c r="I30" s="23"/>
      <c r="J30" s="23"/>
      <c r="K30" s="24"/>
      <c r="L30" s="25"/>
      <c r="P30" s="6">
        <v>1</v>
      </c>
    </row>
    <row r="31" spans="1:16" x14ac:dyDescent="0.25">
      <c r="A31" s="6">
        <v>1</v>
      </c>
      <c r="C31" s="17">
        <f t="shared" si="1"/>
        <v>45887</v>
      </c>
      <c r="D31" s="18" t="str">
        <f>CHOOSE(WEEKDAY(C31,2),'Não Apagar'!$C$3,'Não Apagar'!$C$4,'Não Apagar'!$C$5,'Não Apagar'!$C$6,'Não Apagar'!$C$7,'Não Apagar'!$C$8,'Não Apagar'!$C$9)</f>
        <v>Segunda-feira</v>
      </c>
      <c r="E31" s="20"/>
      <c r="F31" s="20"/>
      <c r="G31" s="20"/>
      <c r="H31" s="20"/>
      <c r="I31" s="26">
        <f t="shared" si="0"/>
        <v>0</v>
      </c>
      <c r="J31" s="27">
        <f>MAX(0,MIN(I31,'Não Apagar'!$J$3))</f>
        <v>0</v>
      </c>
      <c r="K31" s="28">
        <f>MAX(0,I31-'Não Apagar'!$J$3)</f>
        <v>0</v>
      </c>
      <c r="L31" s="29">
        <f>L28+K31</f>
        <v>0</v>
      </c>
      <c r="P31" s="6">
        <v>1</v>
      </c>
    </row>
    <row r="32" spans="1:16" x14ac:dyDescent="0.25">
      <c r="A32" s="6">
        <v>1</v>
      </c>
      <c r="C32" s="17">
        <f t="shared" si="1"/>
        <v>45888</v>
      </c>
      <c r="D32" s="18" t="str">
        <f>CHOOSE(WEEKDAY(C32,2),'Não Apagar'!$C$3,'Não Apagar'!$C$4,'Não Apagar'!$C$5,'Não Apagar'!$C$6,'Não Apagar'!$C$7,'Não Apagar'!$C$8,'Não Apagar'!$C$9)</f>
        <v>Terça-feira</v>
      </c>
      <c r="E32" s="20"/>
      <c r="F32" s="20"/>
      <c r="G32" s="20"/>
      <c r="H32" s="20"/>
      <c r="I32" s="26">
        <f t="shared" si="0"/>
        <v>0</v>
      </c>
      <c r="J32" s="27">
        <f>MAX(0,MIN(I32,'Não Apagar'!$J$3))</f>
        <v>0</v>
      </c>
      <c r="K32" s="28">
        <f>MAX(0,I32-'Não Apagar'!$J$3)</f>
        <v>0</v>
      </c>
      <c r="L32" s="29">
        <f t="shared" ref="L32:L35" si="4">L31+K32</f>
        <v>0</v>
      </c>
      <c r="P32" s="6">
        <v>1</v>
      </c>
    </row>
    <row r="33" spans="1:16" x14ac:dyDescent="0.25">
      <c r="A33" s="6">
        <v>1</v>
      </c>
      <c r="C33" s="17">
        <f t="shared" si="1"/>
        <v>45889</v>
      </c>
      <c r="D33" s="18" t="str">
        <f>CHOOSE(WEEKDAY(C33,2),'Não Apagar'!$C$3,'Não Apagar'!$C$4,'Não Apagar'!$C$5,'Não Apagar'!$C$6,'Não Apagar'!$C$7,'Não Apagar'!$C$8,'Não Apagar'!$C$9)</f>
        <v>Quarta-feira</v>
      </c>
      <c r="E33" s="20"/>
      <c r="F33" s="20"/>
      <c r="G33" s="20"/>
      <c r="H33" s="20"/>
      <c r="I33" s="26">
        <f t="shared" si="0"/>
        <v>0</v>
      </c>
      <c r="J33" s="27">
        <f>MAX(0,MIN(I33,'Não Apagar'!$J$3))</f>
        <v>0</v>
      </c>
      <c r="K33" s="28">
        <f>MAX(0,I33-'Não Apagar'!$J$3)</f>
        <v>0</v>
      </c>
      <c r="L33" s="29">
        <f t="shared" si="4"/>
        <v>0</v>
      </c>
      <c r="P33" s="6">
        <v>1</v>
      </c>
    </row>
    <row r="34" spans="1:16" x14ac:dyDescent="0.25">
      <c r="A34" s="6">
        <v>1</v>
      </c>
      <c r="C34" s="17">
        <f t="shared" si="1"/>
        <v>45890</v>
      </c>
      <c r="D34" s="18" t="str">
        <f>CHOOSE(WEEKDAY(C34,2),'Não Apagar'!$C$3,'Não Apagar'!$C$4,'Não Apagar'!$C$5,'Não Apagar'!$C$6,'Não Apagar'!$C$7,'Não Apagar'!$C$8,'Não Apagar'!$C$9)</f>
        <v>Segunda-feira</v>
      </c>
      <c r="E34" s="19"/>
      <c r="F34" s="19"/>
      <c r="G34" s="19"/>
      <c r="H34" s="19"/>
      <c r="I34" s="26">
        <f t="shared" si="0"/>
        <v>0</v>
      </c>
      <c r="J34" s="27">
        <f>MAX(0,MIN(I34,'Não Apagar'!$J$3))</f>
        <v>0</v>
      </c>
      <c r="K34" s="28">
        <f>MAX(0,I34-'Não Apagar'!$J$3)</f>
        <v>0</v>
      </c>
      <c r="L34" s="29">
        <f t="shared" si="4"/>
        <v>0</v>
      </c>
      <c r="P34" s="6">
        <v>1</v>
      </c>
    </row>
    <row r="35" spans="1:16" x14ac:dyDescent="0.25">
      <c r="A35" s="6">
        <v>1</v>
      </c>
      <c r="C35" s="17">
        <f t="shared" si="1"/>
        <v>45891</v>
      </c>
      <c r="D35" s="18" t="str">
        <f>CHOOSE(WEEKDAY(C35,2),'Não Apagar'!$C$3,'Não Apagar'!$C$4,'Não Apagar'!$C$5,'Não Apagar'!$C$6,'Não Apagar'!$C$7,'Não Apagar'!$C$8,'Não Apagar'!$C$9)</f>
        <v>Sexta-feira</v>
      </c>
      <c r="E35" s="19"/>
      <c r="F35" s="19"/>
      <c r="G35" s="19"/>
      <c r="H35" s="19"/>
      <c r="I35" s="26">
        <f t="shared" si="0"/>
        <v>0</v>
      </c>
      <c r="J35" s="27">
        <f>MAX(0,MIN(I35,'Não Apagar'!$J$3))</f>
        <v>0</v>
      </c>
      <c r="K35" s="28">
        <f>MAX(0,I35-'Não Apagar'!$J$3)</f>
        <v>0</v>
      </c>
      <c r="L35" s="29">
        <f t="shared" si="4"/>
        <v>0</v>
      </c>
      <c r="P35" s="6">
        <v>1</v>
      </c>
    </row>
    <row r="36" spans="1:16" x14ac:dyDescent="0.25">
      <c r="A36" s="6">
        <v>1</v>
      </c>
      <c r="C36" s="14">
        <f t="shared" si="1"/>
        <v>45892</v>
      </c>
      <c r="D36" s="15" t="str">
        <f>CHOOSE(WEEKDAY(C36,2),'Não Apagar'!$C$3,'Não Apagar'!$C$4,'Não Apagar'!$C$5,'Não Apagar'!$C$6,'Não Apagar'!$C$7,'Não Apagar'!$C$8,'Não Apagar'!$C$9)</f>
        <v>Sábado</v>
      </c>
      <c r="E36" s="16"/>
      <c r="F36" s="16"/>
      <c r="G36" s="16"/>
      <c r="H36" s="16"/>
      <c r="I36" s="23"/>
      <c r="J36" s="23"/>
      <c r="K36" s="24"/>
      <c r="L36" s="25"/>
      <c r="P36" s="6">
        <v>1</v>
      </c>
    </row>
    <row r="37" spans="1:16" x14ac:dyDescent="0.25">
      <c r="A37" s="6">
        <v>1</v>
      </c>
      <c r="C37" s="14">
        <f t="shared" si="1"/>
        <v>45893</v>
      </c>
      <c r="D37" s="15" t="str">
        <f>CHOOSE(WEEKDAY(C37,2),'Não Apagar'!$C$3,'Não Apagar'!$C$4,'Não Apagar'!$C$5,'Não Apagar'!$C$6,'Não Apagar'!$C$7,'Não Apagar'!$C$8,'Não Apagar'!$C$9)</f>
        <v>Domingo</v>
      </c>
      <c r="E37" s="16"/>
      <c r="F37" s="16"/>
      <c r="G37" s="16"/>
      <c r="H37" s="16"/>
      <c r="I37" s="23"/>
      <c r="J37" s="23"/>
      <c r="K37" s="24"/>
      <c r="L37" s="25"/>
      <c r="P37" s="6">
        <v>1</v>
      </c>
    </row>
    <row r="38" spans="1:16" x14ac:dyDescent="0.25">
      <c r="A38" s="6">
        <v>1</v>
      </c>
      <c r="C38" s="17">
        <f t="shared" si="1"/>
        <v>45894</v>
      </c>
      <c r="D38" s="18" t="str">
        <f>CHOOSE(WEEKDAY(C38,2),'Não Apagar'!$C$3,'Não Apagar'!$C$4,'Não Apagar'!$C$5,'Não Apagar'!$C$6,'Não Apagar'!$C$7,'Não Apagar'!$C$8,'Não Apagar'!$C$9)</f>
        <v>Segunda-feira</v>
      </c>
      <c r="E38" s="20"/>
      <c r="F38" s="20"/>
      <c r="G38" s="20"/>
      <c r="H38" s="20"/>
      <c r="I38" s="26">
        <f t="shared" si="0"/>
        <v>0</v>
      </c>
      <c r="J38" s="27">
        <f>MAX(0,MIN(I38,'Não Apagar'!$J$3))</f>
        <v>0</v>
      </c>
      <c r="K38" s="28">
        <f>MAX(0,I38-'Não Apagar'!$J$3)</f>
        <v>0</v>
      </c>
      <c r="L38" s="29">
        <f>L35+K38</f>
        <v>0</v>
      </c>
      <c r="P38" s="6">
        <v>1</v>
      </c>
    </row>
    <row r="39" spans="1:16" x14ac:dyDescent="0.25">
      <c r="A39" s="6">
        <v>1</v>
      </c>
      <c r="C39" s="17">
        <f t="shared" si="1"/>
        <v>45895</v>
      </c>
      <c r="D39" s="18" t="str">
        <f>CHOOSE(WEEKDAY(C39,2),'Não Apagar'!$C$3,'Não Apagar'!$C$4,'Não Apagar'!$C$5,'Não Apagar'!$C$6,'Não Apagar'!$C$7,'Não Apagar'!$C$8,'Não Apagar'!$C$9)</f>
        <v>Terça-feira</v>
      </c>
      <c r="E39" s="20"/>
      <c r="F39" s="20"/>
      <c r="G39" s="20"/>
      <c r="H39" s="20"/>
      <c r="I39" s="26">
        <f t="shared" si="0"/>
        <v>0</v>
      </c>
      <c r="J39" s="27">
        <f>MAX(0,MIN(I39,'Não Apagar'!$J$3))</f>
        <v>0</v>
      </c>
      <c r="K39" s="28">
        <f>MAX(0,I39-'Não Apagar'!$J$3)</f>
        <v>0</v>
      </c>
      <c r="L39" s="29">
        <f t="shared" ref="L39:L42" si="5">L38+K39</f>
        <v>0</v>
      </c>
      <c r="P39" s="6">
        <v>1</v>
      </c>
    </row>
    <row r="40" spans="1:16" x14ac:dyDescent="0.25">
      <c r="A40" s="6">
        <v>1</v>
      </c>
      <c r="C40" s="17">
        <f t="shared" si="1"/>
        <v>45896</v>
      </c>
      <c r="D40" s="18" t="str">
        <f>CHOOSE(WEEKDAY(C40,2),'Não Apagar'!$C$3,'Não Apagar'!$C$4,'Não Apagar'!$C$5,'Não Apagar'!$C$6,'Não Apagar'!$C$7,'Não Apagar'!$C$8,'Não Apagar'!$C$9)</f>
        <v>Quarta-feira</v>
      </c>
      <c r="E40" s="20"/>
      <c r="F40" s="20"/>
      <c r="G40" s="20"/>
      <c r="H40" s="20"/>
      <c r="I40" s="26">
        <f t="shared" si="0"/>
        <v>0</v>
      </c>
      <c r="J40" s="27">
        <f>MAX(0,MIN(I40,'Não Apagar'!$J$3))</f>
        <v>0</v>
      </c>
      <c r="K40" s="28">
        <f>MAX(0,I40-'Não Apagar'!$J$3)</f>
        <v>0</v>
      </c>
      <c r="L40" s="29">
        <f t="shared" si="5"/>
        <v>0</v>
      </c>
      <c r="P40" s="6">
        <v>1</v>
      </c>
    </row>
    <row r="41" spans="1:16" x14ac:dyDescent="0.25">
      <c r="A41" s="6">
        <v>1</v>
      </c>
      <c r="C41" s="17">
        <f t="shared" si="1"/>
        <v>45897</v>
      </c>
      <c r="D41" s="18" t="str">
        <f>CHOOSE(WEEKDAY(C41,2),'Não Apagar'!$C$3,'Não Apagar'!$C$4,'Não Apagar'!$C$5,'Não Apagar'!$C$6,'Não Apagar'!$C$7,'Não Apagar'!$C$8,'Não Apagar'!$C$9)</f>
        <v>Segunda-feira</v>
      </c>
      <c r="E41" s="19"/>
      <c r="F41" s="19"/>
      <c r="G41" s="19"/>
      <c r="H41" s="19"/>
      <c r="I41" s="26">
        <f t="shared" si="0"/>
        <v>0</v>
      </c>
      <c r="J41" s="27">
        <f>MAX(0,MIN(I41,'Não Apagar'!$J$3))</f>
        <v>0</v>
      </c>
      <c r="K41" s="28">
        <f>MAX(0,I41-'Não Apagar'!$J$3)</f>
        <v>0</v>
      </c>
      <c r="L41" s="29">
        <f t="shared" si="5"/>
        <v>0</v>
      </c>
      <c r="P41" s="6">
        <v>1</v>
      </c>
    </row>
    <row r="42" spans="1:16" x14ac:dyDescent="0.25">
      <c r="A42" s="6">
        <v>1</v>
      </c>
      <c r="C42" s="17">
        <f t="shared" si="1"/>
        <v>45898</v>
      </c>
      <c r="D42" s="18" t="str">
        <f>CHOOSE(WEEKDAY(C42,2),'Não Apagar'!$C$3,'Não Apagar'!$C$4,'Não Apagar'!$C$5,'Não Apagar'!$C$6,'Não Apagar'!$C$7,'Não Apagar'!$C$8,'Não Apagar'!$C$9)</f>
        <v>Sexta-feira</v>
      </c>
      <c r="E42" s="19"/>
      <c r="F42" s="19"/>
      <c r="G42" s="19"/>
      <c r="H42" s="19"/>
      <c r="I42" s="26">
        <f t="shared" si="0"/>
        <v>0</v>
      </c>
      <c r="J42" s="27">
        <f>MAX(0,MIN(I42,'Não Apagar'!$J$3))</f>
        <v>0</v>
      </c>
      <c r="K42" s="28">
        <f>MAX(0,I42-'Não Apagar'!$J$3)</f>
        <v>0</v>
      </c>
      <c r="L42" s="29">
        <f t="shared" si="5"/>
        <v>0</v>
      </c>
      <c r="P42" s="6">
        <v>1</v>
      </c>
    </row>
    <row r="43" spans="1:16" x14ac:dyDescent="0.25">
      <c r="A43" s="6">
        <v>1</v>
      </c>
      <c r="C43" s="14">
        <f t="shared" si="1"/>
        <v>45899</v>
      </c>
      <c r="D43" s="15" t="str">
        <f>CHOOSE(WEEKDAY(C43,2),'Não Apagar'!$C$3,'Não Apagar'!$C$4,'Não Apagar'!$C$5,'Não Apagar'!$C$6,'Não Apagar'!$C$7,'Não Apagar'!$C$8,'Não Apagar'!$C$9)</f>
        <v>Sábado</v>
      </c>
      <c r="E43" s="21"/>
      <c r="F43" s="21"/>
      <c r="G43" s="21"/>
      <c r="H43" s="21"/>
      <c r="I43" s="23"/>
      <c r="J43" s="23"/>
      <c r="K43" s="24"/>
      <c r="L43" s="25"/>
      <c r="P43" s="6">
        <v>1</v>
      </c>
    </row>
    <row r="44" spans="1:16" x14ac:dyDescent="0.25">
      <c r="A44" s="6">
        <v>1</v>
      </c>
      <c r="C44" s="14">
        <f t="shared" si="1"/>
        <v>45900</v>
      </c>
      <c r="D44" s="15" t="str">
        <f>CHOOSE(WEEKDAY(C44,2),'Não Apagar'!$C$3,'Não Apagar'!$C$4,'Não Apagar'!$C$5,'Não Apagar'!$C$6,'Não Apagar'!$C$7,'Não Apagar'!$C$8,'Não Apagar'!$C$9)</f>
        <v>Domingo</v>
      </c>
      <c r="E44" s="21"/>
      <c r="F44" s="21"/>
      <c r="G44" s="21"/>
      <c r="H44" s="21"/>
      <c r="I44" s="23"/>
      <c r="J44" s="23"/>
      <c r="K44" s="24"/>
      <c r="L44" s="25"/>
      <c r="P44" s="6">
        <v>1</v>
      </c>
    </row>
    <row r="45" spans="1:16" x14ac:dyDescent="0.25">
      <c r="A45" s="6">
        <v>1</v>
      </c>
      <c r="P45" s="6">
        <v>1</v>
      </c>
    </row>
    <row r="46" spans="1:16" x14ac:dyDescent="0.25">
      <c r="A46" s="6">
        <v>1</v>
      </c>
      <c r="J46" s="30" t="s">
        <v>19</v>
      </c>
      <c r="K46" s="31"/>
      <c r="L46" s="32">
        <f>IFERROR(INDEX(L14:L44,MATCH(9^9,H14:H44)),Jul.25!L46)</f>
        <v>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22"/>
      <c r="F53" s="22"/>
      <c r="G53" s="22"/>
      <c r="H53" s="22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ignoredErrors>
    <ignoredError sqref="L36:L37 L29:L30 L22:L23 L15:L16" evalError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466B-E3C9-4C81-A0FB-4D708FDA5A9F}">
  <dimension ref="A1:P62"/>
  <sheetViews>
    <sheetView showGridLines="0" zoomScale="85" zoomScaleNormal="85" workbookViewId="0">
      <selection activeCell="L13" sqref="L13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1" customWidth="1"/>
    <col min="12" max="12" width="32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72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3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3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47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46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25">
      <c r="A13" s="6">
        <v>1</v>
      </c>
      <c r="C13" s="66">
        <v>46142</v>
      </c>
      <c r="D13" s="67" t="s">
        <v>38</v>
      </c>
      <c r="E13" s="71" t="s">
        <v>39</v>
      </c>
      <c r="F13" s="71" t="s">
        <v>39</v>
      </c>
      <c r="G13" s="71" t="s">
        <v>39</v>
      </c>
      <c r="H13" s="71" t="s">
        <v>39</v>
      </c>
      <c r="I13" s="71" t="s">
        <v>39</v>
      </c>
      <c r="J13" s="71" t="s">
        <v>39</v>
      </c>
      <c r="K13" s="71" t="s">
        <v>39</v>
      </c>
      <c r="L13" s="78"/>
      <c r="P13" s="6">
        <v>1</v>
      </c>
    </row>
    <row r="14" spans="1:16" x14ac:dyDescent="0.3">
      <c r="A14" s="6">
        <v>1</v>
      </c>
      <c r="C14" s="60">
        <v>46143</v>
      </c>
      <c r="D14" s="61" t="s">
        <v>35</v>
      </c>
      <c r="E14" s="85"/>
      <c r="F14" s="85"/>
      <c r="G14" s="85"/>
      <c r="H14" s="85"/>
      <c r="I14" s="26">
        <f t="shared" ref="I14:I21" si="0">((H14-E14)-(G14-F14))*24</f>
        <v>0</v>
      </c>
      <c r="J14" s="27">
        <f>'Não Apagar'!$J$3</f>
        <v>8</v>
      </c>
      <c r="K14" s="79">
        <f>IF(I14=0,-'Não Apagar'!$J$3,I14-J14)</f>
        <v>-8</v>
      </c>
      <c r="L14" s="80">
        <f>K14+L13</f>
        <v>-8</v>
      </c>
      <c r="M14" s="100"/>
      <c r="N14" s="100"/>
      <c r="O14" s="100"/>
      <c r="P14" s="6">
        <v>1</v>
      </c>
    </row>
    <row r="15" spans="1:16" x14ac:dyDescent="0.3">
      <c r="A15" s="6">
        <v>1</v>
      </c>
      <c r="C15" s="64">
        <v>46144</v>
      </c>
      <c r="D15" s="65" t="s">
        <v>36</v>
      </c>
      <c r="E15" s="86"/>
      <c r="F15" s="86"/>
      <c r="G15" s="86"/>
      <c r="H15" s="86"/>
      <c r="I15" s="86"/>
      <c r="J15" s="86"/>
      <c r="K15" s="86"/>
      <c r="L15" s="86"/>
      <c r="M15" s="100"/>
      <c r="N15" s="100"/>
      <c r="O15" s="100"/>
      <c r="P15" s="6">
        <v>1</v>
      </c>
    </row>
    <row r="16" spans="1:16" x14ac:dyDescent="0.3">
      <c r="A16" s="6">
        <v>1</v>
      </c>
      <c r="C16" s="64">
        <v>46145</v>
      </c>
      <c r="D16" s="65" t="s">
        <v>37</v>
      </c>
      <c r="E16" s="86"/>
      <c r="F16" s="86"/>
      <c r="G16" s="86"/>
      <c r="H16" s="86"/>
      <c r="I16" s="86"/>
      <c r="J16" s="86"/>
      <c r="K16" s="86"/>
      <c r="L16" s="86"/>
      <c r="M16" s="100"/>
      <c r="N16" s="100"/>
      <c r="O16" s="100"/>
      <c r="P16" s="6">
        <v>1</v>
      </c>
    </row>
    <row r="17" spans="1:16" x14ac:dyDescent="0.3">
      <c r="A17" s="6">
        <v>1</v>
      </c>
      <c r="C17" s="60">
        <v>46146</v>
      </c>
      <c r="D17" s="61" t="s">
        <v>30</v>
      </c>
      <c r="E17" s="85"/>
      <c r="F17" s="85"/>
      <c r="G17" s="85"/>
      <c r="H17" s="85"/>
      <c r="I17" s="26">
        <f t="shared" ref="I15:I42" si="1">((H17-E17)-(G17-F17))*24</f>
        <v>0</v>
      </c>
      <c r="J17" s="27">
        <f>'Não Apagar'!$J$3</f>
        <v>8</v>
      </c>
      <c r="K17" s="79">
        <f>IF(I17=0,-'Não Apagar'!$J$3,I17-J17)</f>
        <v>-8</v>
      </c>
      <c r="L17" s="80">
        <f>K17+L14</f>
        <v>-16</v>
      </c>
      <c r="M17" s="100"/>
      <c r="N17" s="100"/>
      <c r="O17" s="100"/>
      <c r="P17" s="6">
        <v>1</v>
      </c>
    </row>
    <row r="18" spans="1:16" x14ac:dyDescent="0.3">
      <c r="A18" s="6">
        <v>1</v>
      </c>
      <c r="C18" s="60">
        <v>46147</v>
      </c>
      <c r="D18" s="61" t="s">
        <v>29</v>
      </c>
      <c r="E18" s="85"/>
      <c r="F18" s="85"/>
      <c r="G18" s="85"/>
      <c r="H18" s="85"/>
      <c r="I18" s="26">
        <f t="shared" si="1"/>
        <v>0</v>
      </c>
      <c r="J18" s="27">
        <f>'Não Apagar'!$J$3</f>
        <v>8</v>
      </c>
      <c r="K18" s="79">
        <f>IF(I18=0,-'Não Apagar'!$J$3,I18-J18)</f>
        <v>-8</v>
      </c>
      <c r="L18" s="80">
        <f t="shared" ref="L15:L42" si="2">K18+L17</f>
        <v>-24</v>
      </c>
      <c r="M18" s="100"/>
      <c r="N18" s="100"/>
      <c r="O18" s="100"/>
      <c r="P18" s="6">
        <v>1</v>
      </c>
    </row>
    <row r="19" spans="1:16" x14ac:dyDescent="0.3">
      <c r="A19" s="6">
        <v>1</v>
      </c>
      <c r="C19" s="60">
        <v>46148</v>
      </c>
      <c r="D19" s="61" t="s">
        <v>34</v>
      </c>
      <c r="E19" s="85"/>
      <c r="F19" s="85"/>
      <c r="G19" s="85"/>
      <c r="H19" s="85"/>
      <c r="I19" s="26">
        <f t="shared" si="1"/>
        <v>0</v>
      </c>
      <c r="J19" s="27">
        <f>'Não Apagar'!$J$3</f>
        <v>8</v>
      </c>
      <c r="K19" s="79">
        <f>IF(I19=0,-'Não Apagar'!$J$3,I19-J19)</f>
        <v>-8</v>
      </c>
      <c r="L19" s="80">
        <f t="shared" si="2"/>
        <v>-32</v>
      </c>
      <c r="M19" s="100"/>
      <c r="N19" s="100"/>
      <c r="O19" s="100"/>
      <c r="P19" s="6">
        <v>1</v>
      </c>
    </row>
    <row r="20" spans="1:16" x14ac:dyDescent="0.3">
      <c r="A20" s="6">
        <v>1</v>
      </c>
      <c r="C20" s="60">
        <v>46149</v>
      </c>
      <c r="D20" s="61" t="s">
        <v>38</v>
      </c>
      <c r="E20" s="85"/>
      <c r="F20" s="85"/>
      <c r="G20" s="85"/>
      <c r="H20" s="85"/>
      <c r="I20" s="26">
        <f t="shared" si="1"/>
        <v>0</v>
      </c>
      <c r="J20" s="27">
        <f>'Não Apagar'!$J$3</f>
        <v>8</v>
      </c>
      <c r="K20" s="79">
        <f>IF(I20=0,-'Não Apagar'!$J$3,I20-J20)</f>
        <v>-8</v>
      </c>
      <c r="L20" s="80">
        <f t="shared" si="2"/>
        <v>-40</v>
      </c>
      <c r="M20" s="100"/>
      <c r="N20" s="100"/>
      <c r="O20" s="100"/>
      <c r="P20" s="6">
        <v>1</v>
      </c>
    </row>
    <row r="21" spans="1:16" x14ac:dyDescent="0.3">
      <c r="A21" s="6">
        <v>1</v>
      </c>
      <c r="C21" s="60">
        <v>46150</v>
      </c>
      <c r="D21" s="61" t="s">
        <v>35</v>
      </c>
      <c r="E21" s="85"/>
      <c r="F21" s="85"/>
      <c r="G21" s="85"/>
      <c r="H21" s="85"/>
      <c r="I21" s="26">
        <f t="shared" si="1"/>
        <v>0</v>
      </c>
      <c r="J21" s="27">
        <f>'Não Apagar'!$J$3</f>
        <v>8</v>
      </c>
      <c r="K21" s="79">
        <f>IF(I21=0,-'Não Apagar'!$J$3,I21-J21)</f>
        <v>-8</v>
      </c>
      <c r="L21" s="80">
        <f t="shared" si="2"/>
        <v>-48</v>
      </c>
      <c r="M21" s="100"/>
      <c r="N21" s="100"/>
      <c r="O21" s="100"/>
      <c r="P21" s="6">
        <v>1</v>
      </c>
    </row>
    <row r="22" spans="1:16" x14ac:dyDescent="0.3">
      <c r="A22" s="6">
        <v>1</v>
      </c>
      <c r="C22" s="64">
        <v>46151</v>
      </c>
      <c r="D22" s="65" t="s">
        <v>36</v>
      </c>
      <c r="E22" s="86"/>
      <c r="F22" s="86"/>
      <c r="G22" s="86"/>
      <c r="H22" s="86"/>
      <c r="I22" s="86"/>
      <c r="J22" s="86"/>
      <c r="K22" s="86"/>
      <c r="L22" s="86"/>
      <c r="M22" s="100"/>
      <c r="N22" s="100"/>
      <c r="O22" s="100"/>
      <c r="P22" s="6">
        <v>1</v>
      </c>
    </row>
    <row r="23" spans="1:16" x14ac:dyDescent="0.3">
      <c r="A23" s="6">
        <v>1</v>
      </c>
      <c r="C23" s="64">
        <v>46152</v>
      </c>
      <c r="D23" s="65" t="s">
        <v>37</v>
      </c>
      <c r="E23" s="86"/>
      <c r="F23" s="86"/>
      <c r="G23" s="86"/>
      <c r="H23" s="86"/>
      <c r="I23" s="86"/>
      <c r="J23" s="86"/>
      <c r="K23" s="86"/>
      <c r="L23" s="86"/>
      <c r="M23" s="100"/>
      <c r="N23" s="100"/>
      <c r="O23" s="100"/>
      <c r="P23" s="6">
        <v>1</v>
      </c>
    </row>
    <row r="24" spans="1:16" x14ac:dyDescent="0.3">
      <c r="A24" s="6">
        <v>1</v>
      </c>
      <c r="C24" s="60">
        <v>46153</v>
      </c>
      <c r="D24" s="61" t="s">
        <v>30</v>
      </c>
      <c r="E24" s="85"/>
      <c r="F24" s="85"/>
      <c r="G24" s="85"/>
      <c r="H24" s="85"/>
      <c r="I24" s="26">
        <f t="shared" si="1"/>
        <v>0</v>
      </c>
      <c r="J24" s="27">
        <f>'Não Apagar'!$J$3</f>
        <v>8</v>
      </c>
      <c r="K24" s="79">
        <f>IF(I24=0,-'Não Apagar'!$J$3,I24-J24)</f>
        <v>-8</v>
      </c>
      <c r="L24" s="80">
        <f>K24+L21</f>
        <v>-56</v>
      </c>
      <c r="M24" s="100"/>
      <c r="N24" s="100"/>
      <c r="O24" s="100"/>
      <c r="P24" s="6">
        <v>1</v>
      </c>
    </row>
    <row r="25" spans="1:16" x14ac:dyDescent="0.3">
      <c r="A25" s="6">
        <v>1</v>
      </c>
      <c r="C25" s="60">
        <v>46154</v>
      </c>
      <c r="D25" s="61" t="s">
        <v>29</v>
      </c>
      <c r="E25" s="85"/>
      <c r="F25" s="85"/>
      <c r="G25" s="85"/>
      <c r="H25" s="85"/>
      <c r="I25" s="26">
        <f t="shared" si="1"/>
        <v>0</v>
      </c>
      <c r="J25" s="27">
        <f>'Não Apagar'!$J$3</f>
        <v>8</v>
      </c>
      <c r="K25" s="79">
        <f>IF(I25=0,-'Não Apagar'!$J$3,I25-J25)</f>
        <v>-8</v>
      </c>
      <c r="L25" s="80">
        <f t="shared" si="2"/>
        <v>-64</v>
      </c>
      <c r="M25" s="100"/>
      <c r="N25" s="100"/>
      <c r="O25" s="100"/>
      <c r="P25" s="6">
        <v>1</v>
      </c>
    </row>
    <row r="26" spans="1:16" x14ac:dyDescent="0.3">
      <c r="A26" s="6">
        <v>1</v>
      </c>
      <c r="C26" s="60">
        <v>46155</v>
      </c>
      <c r="D26" s="61" t="s">
        <v>34</v>
      </c>
      <c r="E26" s="85"/>
      <c r="F26" s="85"/>
      <c r="G26" s="85"/>
      <c r="H26" s="85"/>
      <c r="I26" s="26">
        <f t="shared" si="1"/>
        <v>0</v>
      </c>
      <c r="J26" s="27">
        <f>'Não Apagar'!$J$3</f>
        <v>8</v>
      </c>
      <c r="K26" s="79">
        <f>IF(I26=0,-'Não Apagar'!$J$3,I26-J26)</f>
        <v>-8</v>
      </c>
      <c r="L26" s="80">
        <f t="shared" si="2"/>
        <v>-72</v>
      </c>
      <c r="M26" s="100"/>
      <c r="N26" s="100"/>
      <c r="O26" s="100"/>
      <c r="P26" s="6">
        <v>1</v>
      </c>
    </row>
    <row r="27" spans="1:16" x14ac:dyDescent="0.3">
      <c r="A27" s="6">
        <v>1</v>
      </c>
      <c r="C27" s="60">
        <v>46156</v>
      </c>
      <c r="D27" s="61" t="s">
        <v>38</v>
      </c>
      <c r="E27" s="85"/>
      <c r="F27" s="85"/>
      <c r="G27" s="85"/>
      <c r="H27" s="85"/>
      <c r="I27" s="26">
        <f t="shared" si="1"/>
        <v>0</v>
      </c>
      <c r="J27" s="27">
        <f>'Não Apagar'!$J$3</f>
        <v>8</v>
      </c>
      <c r="K27" s="79">
        <f>IF(I27=0,-'Não Apagar'!$J$3,I27-J27)</f>
        <v>-8</v>
      </c>
      <c r="L27" s="80">
        <f t="shared" si="2"/>
        <v>-80</v>
      </c>
      <c r="M27" s="100"/>
      <c r="N27" s="100"/>
      <c r="O27" s="100"/>
      <c r="P27" s="6">
        <v>1</v>
      </c>
    </row>
    <row r="28" spans="1:16" x14ac:dyDescent="0.3">
      <c r="A28" s="6">
        <v>1</v>
      </c>
      <c r="C28" s="60">
        <v>46157</v>
      </c>
      <c r="D28" s="61" t="s">
        <v>35</v>
      </c>
      <c r="E28" s="85"/>
      <c r="F28" s="85"/>
      <c r="G28" s="85"/>
      <c r="H28" s="85"/>
      <c r="I28" s="26">
        <f t="shared" si="1"/>
        <v>0</v>
      </c>
      <c r="J28" s="27">
        <f>'Não Apagar'!$J$3</f>
        <v>8</v>
      </c>
      <c r="K28" s="79">
        <f>IF(I28=0,-'Não Apagar'!$J$3,I28-J28)</f>
        <v>-8</v>
      </c>
      <c r="L28" s="80">
        <f t="shared" si="2"/>
        <v>-88</v>
      </c>
      <c r="M28" s="100"/>
      <c r="N28" s="100"/>
      <c r="O28" s="100"/>
      <c r="P28" s="6">
        <v>1</v>
      </c>
    </row>
    <row r="29" spans="1:16" x14ac:dyDescent="0.3">
      <c r="A29" s="6">
        <v>1</v>
      </c>
      <c r="C29" s="64">
        <v>46158</v>
      </c>
      <c r="D29" s="65" t="s">
        <v>36</v>
      </c>
      <c r="E29" s="86"/>
      <c r="F29" s="86"/>
      <c r="G29" s="86"/>
      <c r="H29" s="86"/>
      <c r="I29" s="86"/>
      <c r="J29" s="86"/>
      <c r="K29" s="86"/>
      <c r="L29" s="86"/>
      <c r="M29" s="100"/>
      <c r="N29" s="100"/>
      <c r="O29" s="100"/>
      <c r="P29" s="6">
        <v>1</v>
      </c>
    </row>
    <row r="30" spans="1:16" x14ac:dyDescent="0.3">
      <c r="A30" s="6">
        <v>1</v>
      </c>
      <c r="C30" s="64">
        <v>46159</v>
      </c>
      <c r="D30" s="65" t="s">
        <v>37</v>
      </c>
      <c r="E30" s="86"/>
      <c r="F30" s="86"/>
      <c r="G30" s="86"/>
      <c r="H30" s="86"/>
      <c r="I30" s="86"/>
      <c r="J30" s="86"/>
      <c r="K30" s="86"/>
      <c r="L30" s="86"/>
      <c r="M30" s="100"/>
      <c r="N30" s="100"/>
      <c r="O30" s="100"/>
      <c r="P30" s="6">
        <v>1</v>
      </c>
    </row>
    <row r="31" spans="1:16" x14ac:dyDescent="0.3">
      <c r="A31" s="6">
        <v>1</v>
      </c>
      <c r="C31" s="60">
        <v>46160</v>
      </c>
      <c r="D31" s="61" t="s">
        <v>30</v>
      </c>
      <c r="E31" s="85"/>
      <c r="F31" s="85"/>
      <c r="G31" s="85"/>
      <c r="H31" s="85"/>
      <c r="I31" s="26">
        <f t="shared" si="1"/>
        <v>0</v>
      </c>
      <c r="J31" s="27">
        <f>'Não Apagar'!$J$3</f>
        <v>8</v>
      </c>
      <c r="K31" s="79">
        <f>IF(I31=0,-'Não Apagar'!$J$3,I31-J31)</f>
        <v>-8</v>
      </c>
      <c r="L31" s="80">
        <f>K31+L28</f>
        <v>-96</v>
      </c>
      <c r="M31" s="100"/>
      <c r="N31" s="100"/>
      <c r="O31" s="100"/>
      <c r="P31" s="6">
        <v>1</v>
      </c>
    </row>
    <row r="32" spans="1:16" x14ac:dyDescent="0.3">
      <c r="A32" s="6">
        <v>1</v>
      </c>
      <c r="C32" s="60">
        <v>46161</v>
      </c>
      <c r="D32" s="61" t="s">
        <v>29</v>
      </c>
      <c r="E32" s="85"/>
      <c r="F32" s="85"/>
      <c r="G32" s="85"/>
      <c r="H32" s="85"/>
      <c r="I32" s="26">
        <f t="shared" si="1"/>
        <v>0</v>
      </c>
      <c r="J32" s="27">
        <f>'Não Apagar'!$J$3</f>
        <v>8</v>
      </c>
      <c r="K32" s="79">
        <f>IF(I32=0,-'Não Apagar'!$J$3,I32-J32)</f>
        <v>-8</v>
      </c>
      <c r="L32" s="80">
        <f t="shared" si="2"/>
        <v>-104</v>
      </c>
      <c r="M32" s="100"/>
      <c r="N32" s="100"/>
      <c r="O32" s="100"/>
      <c r="P32" s="6">
        <v>1</v>
      </c>
    </row>
    <row r="33" spans="1:16" x14ac:dyDescent="0.3">
      <c r="A33" s="6">
        <v>1</v>
      </c>
      <c r="C33" s="60">
        <v>46162</v>
      </c>
      <c r="D33" s="61" t="s">
        <v>34</v>
      </c>
      <c r="E33" s="85"/>
      <c r="F33" s="85"/>
      <c r="G33" s="85"/>
      <c r="H33" s="85"/>
      <c r="I33" s="26">
        <f t="shared" si="1"/>
        <v>0</v>
      </c>
      <c r="J33" s="27">
        <f>'Não Apagar'!$J$3</f>
        <v>8</v>
      </c>
      <c r="K33" s="79">
        <f>IF(I33=0,-'Não Apagar'!$J$3,I33-J33)</f>
        <v>-8</v>
      </c>
      <c r="L33" s="80">
        <f t="shared" si="2"/>
        <v>-112</v>
      </c>
      <c r="M33" s="100"/>
      <c r="N33" s="100"/>
      <c r="O33" s="100"/>
      <c r="P33" s="6">
        <v>1</v>
      </c>
    </row>
    <row r="34" spans="1:16" x14ac:dyDescent="0.3">
      <c r="A34" s="6">
        <v>1</v>
      </c>
      <c r="C34" s="60">
        <v>46163</v>
      </c>
      <c r="D34" s="61" t="s">
        <v>38</v>
      </c>
      <c r="E34" s="85"/>
      <c r="F34" s="85"/>
      <c r="G34" s="85"/>
      <c r="H34" s="85"/>
      <c r="I34" s="26">
        <f t="shared" si="1"/>
        <v>0</v>
      </c>
      <c r="J34" s="27">
        <f>'Não Apagar'!$J$3</f>
        <v>8</v>
      </c>
      <c r="K34" s="79">
        <f>IF(I34=0,-'Não Apagar'!$J$3,I34-J34)</f>
        <v>-8</v>
      </c>
      <c r="L34" s="80">
        <f t="shared" si="2"/>
        <v>-120</v>
      </c>
      <c r="M34" s="100"/>
      <c r="N34" s="100"/>
      <c r="O34" s="100"/>
      <c r="P34" s="6">
        <v>1</v>
      </c>
    </row>
    <row r="35" spans="1:16" x14ac:dyDescent="0.3">
      <c r="A35" s="6">
        <v>1</v>
      </c>
      <c r="C35" s="60">
        <v>46164</v>
      </c>
      <c r="D35" s="61" t="s">
        <v>35</v>
      </c>
      <c r="E35" s="85"/>
      <c r="F35" s="85"/>
      <c r="G35" s="85"/>
      <c r="H35" s="85"/>
      <c r="I35" s="26">
        <f t="shared" si="1"/>
        <v>0</v>
      </c>
      <c r="J35" s="27">
        <f>'Não Apagar'!$J$3</f>
        <v>8</v>
      </c>
      <c r="K35" s="79">
        <f>IF(I35=0,-'Não Apagar'!$J$3,I35-J35)</f>
        <v>-8</v>
      </c>
      <c r="L35" s="80">
        <f t="shared" si="2"/>
        <v>-128</v>
      </c>
      <c r="M35" s="100"/>
      <c r="N35" s="100"/>
      <c r="O35" s="100"/>
      <c r="P35" s="6">
        <v>1</v>
      </c>
    </row>
    <row r="36" spans="1:16" x14ac:dyDescent="0.3">
      <c r="A36" s="6">
        <v>1</v>
      </c>
      <c r="C36" s="64">
        <v>46165</v>
      </c>
      <c r="D36" s="65" t="s">
        <v>36</v>
      </c>
      <c r="E36" s="86"/>
      <c r="F36" s="86"/>
      <c r="G36" s="86"/>
      <c r="H36" s="86"/>
      <c r="I36" s="86"/>
      <c r="J36" s="86"/>
      <c r="K36" s="86"/>
      <c r="L36" s="86"/>
      <c r="M36" s="100"/>
      <c r="N36" s="100"/>
      <c r="O36" s="100"/>
      <c r="P36" s="6">
        <v>1</v>
      </c>
    </row>
    <row r="37" spans="1:16" x14ac:dyDescent="0.3">
      <c r="A37" s="6">
        <v>1</v>
      </c>
      <c r="C37" s="64">
        <v>46166</v>
      </c>
      <c r="D37" s="65" t="s">
        <v>37</v>
      </c>
      <c r="E37" s="86"/>
      <c r="F37" s="86"/>
      <c r="G37" s="86"/>
      <c r="H37" s="86"/>
      <c r="I37" s="86"/>
      <c r="J37" s="86"/>
      <c r="K37" s="86"/>
      <c r="L37" s="86"/>
      <c r="M37" s="100"/>
      <c r="N37" s="100"/>
      <c r="O37" s="100"/>
      <c r="P37" s="6">
        <v>1</v>
      </c>
    </row>
    <row r="38" spans="1:16" x14ac:dyDescent="0.3">
      <c r="A38" s="6">
        <v>1</v>
      </c>
      <c r="C38" s="60">
        <v>46167</v>
      </c>
      <c r="D38" s="61" t="s">
        <v>30</v>
      </c>
      <c r="E38" s="85"/>
      <c r="F38" s="85"/>
      <c r="G38" s="85"/>
      <c r="H38" s="85"/>
      <c r="I38" s="26">
        <f t="shared" si="1"/>
        <v>0</v>
      </c>
      <c r="J38" s="27">
        <f>'Não Apagar'!$J$3</f>
        <v>8</v>
      </c>
      <c r="K38" s="79">
        <f>IF(I38=0,-'Não Apagar'!$J$3,I38-J38)</f>
        <v>-8</v>
      </c>
      <c r="L38" s="80">
        <f>K38+L35</f>
        <v>-136</v>
      </c>
      <c r="M38" s="100"/>
      <c r="N38" s="100"/>
      <c r="O38" s="100"/>
      <c r="P38" s="6">
        <v>1</v>
      </c>
    </row>
    <row r="39" spans="1:16" x14ac:dyDescent="0.3">
      <c r="A39" s="6">
        <v>1</v>
      </c>
      <c r="C39" s="60">
        <v>46168</v>
      </c>
      <c r="D39" s="61" t="s">
        <v>29</v>
      </c>
      <c r="E39" s="85"/>
      <c r="F39" s="85"/>
      <c r="G39" s="85"/>
      <c r="H39" s="85"/>
      <c r="I39" s="26">
        <f t="shared" si="1"/>
        <v>0</v>
      </c>
      <c r="J39" s="27">
        <f>'Não Apagar'!$J$3</f>
        <v>8</v>
      </c>
      <c r="K39" s="79">
        <f>IF(I39=0,-'Não Apagar'!$J$3,I39-J39)</f>
        <v>-8</v>
      </c>
      <c r="L39" s="80">
        <f t="shared" si="2"/>
        <v>-144</v>
      </c>
      <c r="M39" s="100"/>
      <c r="N39" s="100"/>
      <c r="O39" s="100"/>
      <c r="P39" s="6">
        <v>1</v>
      </c>
    </row>
    <row r="40" spans="1:16" x14ac:dyDescent="0.3">
      <c r="A40" s="6">
        <v>1</v>
      </c>
      <c r="C40" s="60">
        <v>46169</v>
      </c>
      <c r="D40" s="61" t="s">
        <v>34</v>
      </c>
      <c r="E40" s="85"/>
      <c r="F40" s="85"/>
      <c r="G40" s="85"/>
      <c r="H40" s="85"/>
      <c r="I40" s="26">
        <f t="shared" si="1"/>
        <v>0</v>
      </c>
      <c r="J40" s="27">
        <f>'Não Apagar'!$J$3</f>
        <v>8</v>
      </c>
      <c r="K40" s="79">
        <f>IF(I40=0,-'Não Apagar'!$J$3,I40-J40)</f>
        <v>-8</v>
      </c>
      <c r="L40" s="80">
        <f t="shared" si="2"/>
        <v>-152</v>
      </c>
      <c r="M40" s="100"/>
      <c r="N40" s="100"/>
      <c r="O40" s="100"/>
      <c r="P40" s="6">
        <v>1</v>
      </c>
    </row>
    <row r="41" spans="1:16" x14ac:dyDescent="0.3">
      <c r="A41" s="6">
        <v>1</v>
      </c>
      <c r="C41" s="60">
        <v>46170</v>
      </c>
      <c r="D41" s="61" t="s">
        <v>38</v>
      </c>
      <c r="E41" s="85"/>
      <c r="F41" s="85"/>
      <c r="G41" s="85"/>
      <c r="H41" s="85"/>
      <c r="I41" s="26">
        <f t="shared" si="1"/>
        <v>0</v>
      </c>
      <c r="J41" s="27">
        <f>'Não Apagar'!$J$3</f>
        <v>8</v>
      </c>
      <c r="K41" s="79">
        <f>IF(I41=0,-'Não Apagar'!$J$3,I41-J41)</f>
        <v>-8</v>
      </c>
      <c r="L41" s="80">
        <f t="shared" si="2"/>
        <v>-160</v>
      </c>
      <c r="M41" s="100"/>
      <c r="N41" s="100"/>
      <c r="O41" s="100"/>
      <c r="P41" s="6">
        <v>1</v>
      </c>
    </row>
    <row r="42" spans="1:16" x14ac:dyDescent="0.3">
      <c r="A42" s="6">
        <v>1</v>
      </c>
      <c r="C42" s="60">
        <v>46171</v>
      </c>
      <c r="D42" s="61" t="s">
        <v>35</v>
      </c>
      <c r="E42" s="85"/>
      <c r="F42" s="85"/>
      <c r="G42" s="85"/>
      <c r="H42" s="85"/>
      <c r="I42" s="26">
        <f t="shared" si="1"/>
        <v>0</v>
      </c>
      <c r="J42" s="27">
        <f>'Não Apagar'!$J$3</f>
        <v>8</v>
      </c>
      <c r="K42" s="79">
        <f>IF(I42=0,-'Não Apagar'!$J$3,I42-J42)</f>
        <v>-8</v>
      </c>
      <c r="L42" s="80">
        <f t="shared" si="2"/>
        <v>-168</v>
      </c>
      <c r="M42" s="100"/>
      <c r="N42" s="100"/>
      <c r="O42" s="100"/>
      <c r="P42" s="6">
        <v>1</v>
      </c>
    </row>
    <row r="43" spans="1:16" x14ac:dyDescent="0.3">
      <c r="A43" s="6">
        <v>1</v>
      </c>
      <c r="C43" s="64">
        <v>46172</v>
      </c>
      <c r="D43" s="65" t="s">
        <v>36</v>
      </c>
      <c r="E43" s="86"/>
      <c r="F43" s="86"/>
      <c r="G43" s="86"/>
      <c r="H43" s="86"/>
      <c r="I43" s="23"/>
      <c r="J43" s="23"/>
      <c r="K43" s="95"/>
      <c r="L43" s="96"/>
      <c r="M43" s="100"/>
      <c r="N43" s="100"/>
      <c r="O43" s="100"/>
      <c r="P43" s="6">
        <v>1</v>
      </c>
    </row>
    <row r="44" spans="1:16" x14ac:dyDescent="0.3">
      <c r="A44" s="6">
        <v>1</v>
      </c>
      <c r="C44" s="64">
        <v>46173</v>
      </c>
      <c r="D44" s="65" t="s">
        <v>37</v>
      </c>
      <c r="E44" s="86"/>
      <c r="F44" s="86"/>
      <c r="G44" s="86"/>
      <c r="H44" s="86"/>
      <c r="I44" s="23"/>
      <c r="J44" s="23"/>
      <c r="K44" s="81"/>
      <c r="L44" s="23"/>
      <c r="M44" s="100"/>
      <c r="N44" s="100"/>
      <c r="O44" s="100"/>
      <c r="P44" s="6">
        <v>1</v>
      </c>
    </row>
    <row r="45" spans="1:16" ht="15" thickBot="1" x14ac:dyDescent="0.3">
      <c r="A45" s="6">
        <v>1</v>
      </c>
      <c r="L45" s="82"/>
      <c r="P45" s="6">
        <v>1</v>
      </c>
    </row>
    <row r="46" spans="1:16" ht="15" thickBot="1" x14ac:dyDescent="0.3">
      <c r="A46" s="6">
        <v>1</v>
      </c>
      <c r="J46" s="30" t="s">
        <v>19</v>
      </c>
      <c r="K46" s="83"/>
      <c r="L46" s="84">
        <f>L42</f>
        <v>-168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72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DHBwf8/EzmUiz9NYucNWl7ogrK9fseUieHMf315vwux0wsd3m/9d6ShL9EHoDSalg7hKLsdUaB9ArBy4lgUylg==" saltValue="Gfyh0TeUx2RmVB42SglT+A==" spinCount="100000" sheet="1" objects="1" scenarios="1" formatCells="0"/>
  <mergeCells count="35">
    <mergeCell ref="M40:O40"/>
    <mergeCell ref="M41:O41"/>
    <mergeCell ref="M42:O42"/>
    <mergeCell ref="M43:O43"/>
    <mergeCell ref="M44:O44"/>
    <mergeCell ref="M34:O34"/>
    <mergeCell ref="M35:O35"/>
    <mergeCell ref="M36:O36"/>
    <mergeCell ref="M37:O37"/>
    <mergeCell ref="M38:O38"/>
    <mergeCell ref="M39:O39"/>
    <mergeCell ref="M28:O28"/>
    <mergeCell ref="M29:O29"/>
    <mergeCell ref="M30:O30"/>
    <mergeCell ref="M31:O31"/>
    <mergeCell ref="M32:O32"/>
    <mergeCell ref="M33:O33"/>
    <mergeCell ref="M22:O22"/>
    <mergeCell ref="M23:O23"/>
    <mergeCell ref="M24:O24"/>
    <mergeCell ref="M25:O25"/>
    <mergeCell ref="M26:O26"/>
    <mergeCell ref="M27:O27"/>
    <mergeCell ref="M16:O16"/>
    <mergeCell ref="M17:O17"/>
    <mergeCell ref="M18:O18"/>
    <mergeCell ref="M19:O19"/>
    <mergeCell ref="M20:O20"/>
    <mergeCell ref="M21:O21"/>
    <mergeCell ref="D5:G5"/>
    <mergeCell ref="D6:G6"/>
    <mergeCell ref="C11:L11"/>
    <mergeCell ref="C54:I54"/>
    <mergeCell ref="M14:O14"/>
    <mergeCell ref="M15:O15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8700-270B-4AB1-A106-73986BE64B53}">
  <dimension ref="A1:P62"/>
  <sheetViews>
    <sheetView showGridLines="0" zoomScale="85" zoomScaleNormal="85" workbookViewId="0">
      <selection activeCell="J17" sqref="J17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2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45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44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0">
        <v>46174</v>
      </c>
      <c r="D13" s="61" t="s">
        <v>30</v>
      </c>
      <c r="E13" s="85"/>
      <c r="F13" s="85"/>
      <c r="G13" s="85"/>
      <c r="H13" s="85"/>
      <c r="I13" s="27">
        <f t="shared" ref="I13" si="0">((H13-E13)-(G13-F13))*24</f>
        <v>0</v>
      </c>
      <c r="J13" s="27">
        <f>'Não Apagar'!$J$3</f>
        <v>8</v>
      </c>
      <c r="K13" s="28">
        <f>IF(I14=0,-'Não Apagar'!$J$3,I14-J14)</f>
        <v>-8</v>
      </c>
      <c r="L13" s="76">
        <f>K13+Mai.26!L46</f>
        <v>-176</v>
      </c>
      <c r="P13" s="6">
        <v>1</v>
      </c>
    </row>
    <row r="14" spans="1:16" x14ac:dyDescent="0.3">
      <c r="A14" s="6">
        <v>1</v>
      </c>
      <c r="C14" s="60">
        <v>46175</v>
      </c>
      <c r="D14" s="61" t="s">
        <v>29</v>
      </c>
      <c r="E14" s="85"/>
      <c r="F14" s="85"/>
      <c r="G14" s="85"/>
      <c r="H14" s="85"/>
      <c r="I14" s="27">
        <f t="shared" ref="I14:I42" si="1">((H14-E14)-(G14-F14))*24</f>
        <v>0</v>
      </c>
      <c r="J14" s="27">
        <f>'Não Apagar'!$J$3</f>
        <v>8</v>
      </c>
      <c r="K14" s="28">
        <f>IF(I15=0,-'Não Apagar'!$J$3,I15-J15)</f>
        <v>-8</v>
      </c>
      <c r="L14" s="76">
        <f>K14+L13</f>
        <v>-184</v>
      </c>
      <c r="P14" s="6">
        <v>1</v>
      </c>
    </row>
    <row r="15" spans="1:16" x14ac:dyDescent="0.3">
      <c r="A15" s="6">
        <v>1</v>
      </c>
      <c r="C15" s="60">
        <v>46176</v>
      </c>
      <c r="D15" s="61" t="s">
        <v>34</v>
      </c>
      <c r="E15" s="85"/>
      <c r="F15" s="85"/>
      <c r="G15" s="85"/>
      <c r="H15" s="85"/>
      <c r="I15" s="27">
        <f t="shared" si="1"/>
        <v>0</v>
      </c>
      <c r="J15" s="27">
        <f>'Não Apagar'!$J$3</f>
        <v>8</v>
      </c>
      <c r="K15" s="28">
        <f>IF(I16=0,-'Não Apagar'!$J$3,I16-J16)</f>
        <v>-8</v>
      </c>
      <c r="L15" s="76">
        <f t="shared" ref="L15:L42" si="2">K15+L14</f>
        <v>-192</v>
      </c>
      <c r="P15" s="6">
        <v>1</v>
      </c>
    </row>
    <row r="16" spans="1:16" x14ac:dyDescent="0.3">
      <c r="A16" s="6">
        <v>1</v>
      </c>
      <c r="C16" s="60">
        <v>46177</v>
      </c>
      <c r="D16" s="61" t="s">
        <v>38</v>
      </c>
      <c r="E16" s="85"/>
      <c r="F16" s="85"/>
      <c r="G16" s="85"/>
      <c r="H16" s="85"/>
      <c r="I16" s="27">
        <f>((H16-E16)-(G16-F16))*24</f>
        <v>0</v>
      </c>
      <c r="J16" s="27">
        <f>'Não Apagar'!$J$3</f>
        <v>8</v>
      </c>
      <c r="K16" s="28">
        <f>IF(I17=0,-'Não Apagar'!$J$3,I17-J17)</f>
        <v>-8</v>
      </c>
      <c r="L16" s="76">
        <f t="shared" si="2"/>
        <v>-200</v>
      </c>
      <c r="P16" s="6">
        <v>1</v>
      </c>
    </row>
    <row r="17" spans="1:16" x14ac:dyDescent="0.3">
      <c r="A17" s="6">
        <v>1</v>
      </c>
      <c r="C17" s="60">
        <v>46178</v>
      </c>
      <c r="D17" s="61" t="s">
        <v>35</v>
      </c>
      <c r="E17" s="85"/>
      <c r="F17" s="85"/>
      <c r="G17" s="85"/>
      <c r="H17" s="85"/>
      <c r="I17" s="27">
        <f t="shared" si="1"/>
        <v>0</v>
      </c>
      <c r="J17" s="27">
        <f>'Não Apagar'!$J$3</f>
        <v>8</v>
      </c>
      <c r="K17" s="28">
        <f>IF(I18=0,-'Não Apagar'!$J$3,I18-J18)</f>
        <v>-8</v>
      </c>
      <c r="L17" s="76">
        <f t="shared" si="2"/>
        <v>-208</v>
      </c>
      <c r="P17" s="6">
        <v>1</v>
      </c>
    </row>
    <row r="18" spans="1:16" x14ac:dyDescent="0.3">
      <c r="A18" s="6">
        <v>1</v>
      </c>
      <c r="C18" s="64">
        <v>46179</v>
      </c>
      <c r="D18" s="65" t="s">
        <v>36</v>
      </c>
      <c r="E18" s="86"/>
      <c r="F18" s="86"/>
      <c r="G18" s="86"/>
      <c r="H18" s="86"/>
      <c r="I18" s="86"/>
      <c r="J18" s="86"/>
      <c r="K18" s="86"/>
      <c r="L18" s="86"/>
      <c r="P18" s="6">
        <v>1</v>
      </c>
    </row>
    <row r="19" spans="1:16" x14ac:dyDescent="0.3">
      <c r="A19" s="6">
        <v>1</v>
      </c>
      <c r="C19" s="64">
        <v>46180</v>
      </c>
      <c r="D19" s="65" t="s">
        <v>37</v>
      </c>
      <c r="E19" s="86"/>
      <c r="F19" s="86"/>
      <c r="G19" s="86"/>
      <c r="H19" s="86"/>
      <c r="I19" s="86"/>
      <c r="J19" s="86"/>
      <c r="K19" s="86"/>
      <c r="L19" s="86"/>
      <c r="P19" s="6">
        <v>1</v>
      </c>
    </row>
    <row r="20" spans="1:16" x14ac:dyDescent="0.3">
      <c r="A20" s="6">
        <v>1</v>
      </c>
      <c r="C20" s="60">
        <v>46181</v>
      </c>
      <c r="D20" s="61" t="s">
        <v>30</v>
      </c>
      <c r="E20" s="85"/>
      <c r="F20" s="85"/>
      <c r="G20" s="85"/>
      <c r="H20" s="85"/>
      <c r="I20" s="27">
        <f t="shared" si="1"/>
        <v>0</v>
      </c>
      <c r="J20" s="27">
        <f>'Não Apagar'!$J$3</f>
        <v>8</v>
      </c>
      <c r="K20" s="28">
        <f>IF(I21=0,-'Não Apagar'!$J$3,I21-J21)</f>
        <v>-8</v>
      </c>
      <c r="L20" s="76">
        <f>K20+L17</f>
        <v>-216</v>
      </c>
      <c r="P20" s="6">
        <v>1</v>
      </c>
    </row>
    <row r="21" spans="1:16" x14ac:dyDescent="0.3">
      <c r="A21" s="6">
        <v>1</v>
      </c>
      <c r="C21" s="60">
        <v>46182</v>
      </c>
      <c r="D21" s="61" t="s">
        <v>29</v>
      </c>
      <c r="E21" s="85"/>
      <c r="F21" s="85"/>
      <c r="G21" s="85"/>
      <c r="H21" s="85"/>
      <c r="I21" s="27">
        <f t="shared" si="1"/>
        <v>0</v>
      </c>
      <c r="J21" s="27">
        <f>'Não Apagar'!$J$3</f>
        <v>8</v>
      </c>
      <c r="K21" s="28">
        <f>IF(I22=0,-'Não Apagar'!$J$3,I22-J22)</f>
        <v>-8</v>
      </c>
      <c r="L21" s="76">
        <f t="shared" si="2"/>
        <v>-224</v>
      </c>
      <c r="P21" s="6">
        <v>1</v>
      </c>
    </row>
    <row r="22" spans="1:16" x14ac:dyDescent="0.3">
      <c r="A22" s="6">
        <v>1</v>
      </c>
      <c r="C22" s="60">
        <v>46183</v>
      </c>
      <c r="D22" s="61" t="s">
        <v>34</v>
      </c>
      <c r="E22" s="85"/>
      <c r="F22" s="85"/>
      <c r="G22" s="85"/>
      <c r="H22" s="85"/>
      <c r="I22" s="27">
        <f t="shared" si="1"/>
        <v>0</v>
      </c>
      <c r="J22" s="27">
        <f>'Não Apagar'!$J$3</f>
        <v>8</v>
      </c>
      <c r="K22" s="28">
        <f>IF(I23=0,-'Não Apagar'!$J$3,I23-J23)</f>
        <v>-8</v>
      </c>
      <c r="L22" s="76">
        <f t="shared" si="2"/>
        <v>-232</v>
      </c>
      <c r="P22" s="6">
        <v>1</v>
      </c>
    </row>
    <row r="23" spans="1:16" x14ac:dyDescent="0.3">
      <c r="A23" s="6">
        <v>1</v>
      </c>
      <c r="C23" s="60">
        <v>46184</v>
      </c>
      <c r="D23" s="61" t="s">
        <v>38</v>
      </c>
      <c r="E23" s="85"/>
      <c r="F23" s="85"/>
      <c r="G23" s="85"/>
      <c r="H23" s="85"/>
      <c r="I23" s="27">
        <f t="shared" si="1"/>
        <v>0</v>
      </c>
      <c r="J23" s="27">
        <f>'Não Apagar'!$J$3</f>
        <v>8</v>
      </c>
      <c r="K23" s="28">
        <f>IF(I24=0,-'Não Apagar'!$J$3,I24-J24)</f>
        <v>-8</v>
      </c>
      <c r="L23" s="76">
        <f t="shared" si="2"/>
        <v>-240</v>
      </c>
      <c r="P23" s="6">
        <v>1</v>
      </c>
    </row>
    <row r="24" spans="1:16" x14ac:dyDescent="0.3">
      <c r="A24" s="6">
        <v>1</v>
      </c>
      <c r="C24" s="60">
        <v>46185</v>
      </c>
      <c r="D24" s="61" t="s">
        <v>35</v>
      </c>
      <c r="E24" s="85"/>
      <c r="F24" s="85"/>
      <c r="G24" s="85"/>
      <c r="H24" s="85"/>
      <c r="I24" s="27">
        <f t="shared" si="1"/>
        <v>0</v>
      </c>
      <c r="J24" s="27">
        <f>'Não Apagar'!$J$3</f>
        <v>8</v>
      </c>
      <c r="K24" s="28">
        <f>IF(I25=0,-'Não Apagar'!$J$3,I25-J25)</f>
        <v>-8</v>
      </c>
      <c r="L24" s="76">
        <f t="shared" si="2"/>
        <v>-248</v>
      </c>
      <c r="P24" s="6">
        <v>1</v>
      </c>
    </row>
    <row r="25" spans="1:16" x14ac:dyDescent="0.3">
      <c r="A25" s="6">
        <v>1</v>
      </c>
      <c r="C25" s="64">
        <v>46186</v>
      </c>
      <c r="D25" s="65" t="s">
        <v>36</v>
      </c>
      <c r="E25" s="86"/>
      <c r="F25" s="86"/>
      <c r="G25" s="86"/>
      <c r="H25" s="86"/>
      <c r="I25" s="86"/>
      <c r="J25" s="86"/>
      <c r="K25" s="86"/>
      <c r="L25" s="86"/>
      <c r="P25" s="6">
        <v>1</v>
      </c>
    </row>
    <row r="26" spans="1:16" x14ac:dyDescent="0.3">
      <c r="A26" s="6">
        <v>1</v>
      </c>
      <c r="C26" s="64">
        <v>46187</v>
      </c>
      <c r="D26" s="65" t="s">
        <v>37</v>
      </c>
      <c r="E26" s="86"/>
      <c r="F26" s="86"/>
      <c r="G26" s="86"/>
      <c r="H26" s="86"/>
      <c r="I26" s="86"/>
      <c r="J26" s="86"/>
      <c r="K26" s="86"/>
      <c r="L26" s="86"/>
      <c r="P26" s="6">
        <v>1</v>
      </c>
    </row>
    <row r="27" spans="1:16" x14ac:dyDescent="0.3">
      <c r="A27" s="6">
        <v>1</v>
      </c>
      <c r="C27" s="60">
        <v>46188</v>
      </c>
      <c r="D27" s="61" t="s">
        <v>30</v>
      </c>
      <c r="E27" s="85"/>
      <c r="F27" s="85"/>
      <c r="G27" s="85"/>
      <c r="H27" s="85"/>
      <c r="I27" s="27">
        <f t="shared" si="1"/>
        <v>0</v>
      </c>
      <c r="J27" s="27">
        <f>'Não Apagar'!$J$3</f>
        <v>8</v>
      </c>
      <c r="K27" s="28">
        <f>IF(I28=0,-'Não Apagar'!$J$3,I28-J28)</f>
        <v>-8</v>
      </c>
      <c r="L27" s="76">
        <f>K27+L24</f>
        <v>-256</v>
      </c>
      <c r="P27" s="6">
        <v>1</v>
      </c>
    </row>
    <row r="28" spans="1:16" x14ac:dyDescent="0.3">
      <c r="A28" s="6">
        <v>1</v>
      </c>
      <c r="C28" s="60">
        <v>46189</v>
      </c>
      <c r="D28" s="61" t="s">
        <v>29</v>
      </c>
      <c r="E28" s="85"/>
      <c r="F28" s="85"/>
      <c r="G28" s="85"/>
      <c r="H28" s="85"/>
      <c r="I28" s="27">
        <f t="shared" si="1"/>
        <v>0</v>
      </c>
      <c r="J28" s="27">
        <f>'Não Apagar'!$J$3</f>
        <v>8</v>
      </c>
      <c r="K28" s="28">
        <f>IF(I29=0,-'Não Apagar'!$J$3,I29-J29)</f>
        <v>-8</v>
      </c>
      <c r="L28" s="76">
        <f t="shared" si="2"/>
        <v>-264</v>
      </c>
      <c r="P28" s="6">
        <v>1</v>
      </c>
    </row>
    <row r="29" spans="1:16" x14ac:dyDescent="0.3">
      <c r="A29" s="6">
        <v>1</v>
      </c>
      <c r="C29" s="60">
        <v>46190</v>
      </c>
      <c r="D29" s="61" t="s">
        <v>34</v>
      </c>
      <c r="E29" s="85"/>
      <c r="F29" s="85"/>
      <c r="G29" s="85"/>
      <c r="H29" s="85"/>
      <c r="I29" s="27">
        <f t="shared" si="1"/>
        <v>0</v>
      </c>
      <c r="J29" s="27">
        <f>'Não Apagar'!$J$3</f>
        <v>8</v>
      </c>
      <c r="K29" s="28">
        <f>IF(I30=0,-'Não Apagar'!$J$3,I30-J30)</f>
        <v>-8</v>
      </c>
      <c r="L29" s="76">
        <f t="shared" si="2"/>
        <v>-272</v>
      </c>
      <c r="P29" s="6">
        <v>1</v>
      </c>
    </row>
    <row r="30" spans="1:16" x14ac:dyDescent="0.3">
      <c r="A30" s="6">
        <v>1</v>
      </c>
      <c r="C30" s="60">
        <v>46191</v>
      </c>
      <c r="D30" s="61" t="s">
        <v>38</v>
      </c>
      <c r="E30" s="85"/>
      <c r="F30" s="85"/>
      <c r="G30" s="85"/>
      <c r="H30" s="85"/>
      <c r="I30" s="27">
        <f t="shared" si="1"/>
        <v>0</v>
      </c>
      <c r="J30" s="27">
        <f>'Não Apagar'!$J$3</f>
        <v>8</v>
      </c>
      <c r="K30" s="28">
        <f>IF(I31=0,-'Não Apagar'!$J$3,I31-J31)</f>
        <v>-8</v>
      </c>
      <c r="L30" s="76">
        <f t="shared" si="2"/>
        <v>-280</v>
      </c>
      <c r="P30" s="6">
        <v>1</v>
      </c>
    </row>
    <row r="31" spans="1:16" x14ac:dyDescent="0.3">
      <c r="A31" s="6">
        <v>1</v>
      </c>
      <c r="C31" s="60">
        <v>46192</v>
      </c>
      <c r="D31" s="61" t="s">
        <v>35</v>
      </c>
      <c r="E31" s="85"/>
      <c r="F31" s="85"/>
      <c r="G31" s="85"/>
      <c r="H31" s="85"/>
      <c r="I31" s="27">
        <f t="shared" si="1"/>
        <v>0</v>
      </c>
      <c r="J31" s="27">
        <f>'Não Apagar'!$J$3</f>
        <v>8</v>
      </c>
      <c r="K31" s="28">
        <f>IF(I32=0,-'Não Apagar'!$J$3,I32-J32)</f>
        <v>-8</v>
      </c>
      <c r="L31" s="76">
        <f t="shared" si="2"/>
        <v>-288</v>
      </c>
      <c r="P31" s="6">
        <v>1</v>
      </c>
    </row>
    <row r="32" spans="1:16" x14ac:dyDescent="0.3">
      <c r="A32" s="6">
        <v>1</v>
      </c>
      <c r="C32" s="64">
        <v>46193</v>
      </c>
      <c r="D32" s="65" t="s">
        <v>36</v>
      </c>
      <c r="E32" s="86"/>
      <c r="F32" s="86"/>
      <c r="G32" s="86"/>
      <c r="H32" s="86"/>
      <c r="I32" s="86"/>
      <c r="J32" s="86"/>
      <c r="K32" s="86"/>
      <c r="L32" s="86"/>
      <c r="P32" s="6">
        <v>1</v>
      </c>
    </row>
    <row r="33" spans="1:16" x14ac:dyDescent="0.3">
      <c r="A33" s="6">
        <v>1</v>
      </c>
      <c r="C33" s="64">
        <v>46194</v>
      </c>
      <c r="D33" s="65" t="s">
        <v>37</v>
      </c>
      <c r="E33" s="86"/>
      <c r="F33" s="86"/>
      <c r="G33" s="86"/>
      <c r="H33" s="86"/>
      <c r="I33" s="86"/>
      <c r="J33" s="86"/>
      <c r="K33" s="86"/>
      <c r="L33" s="86"/>
      <c r="P33" s="6">
        <v>1</v>
      </c>
    </row>
    <row r="34" spans="1:16" x14ac:dyDescent="0.3">
      <c r="A34" s="6">
        <v>1</v>
      </c>
      <c r="C34" s="60">
        <v>46195</v>
      </c>
      <c r="D34" s="61" t="s">
        <v>30</v>
      </c>
      <c r="E34" s="85"/>
      <c r="F34" s="85"/>
      <c r="G34" s="85"/>
      <c r="H34" s="85"/>
      <c r="I34" s="27">
        <f t="shared" si="1"/>
        <v>0</v>
      </c>
      <c r="J34" s="27">
        <f>'Não Apagar'!$J$3</f>
        <v>8</v>
      </c>
      <c r="K34" s="28">
        <f>IF(I35=0,-'Não Apagar'!$J$3,I35-J35)</f>
        <v>-8</v>
      </c>
      <c r="L34" s="76">
        <f>K34+L31</f>
        <v>-296</v>
      </c>
      <c r="P34" s="6">
        <v>1</v>
      </c>
    </row>
    <row r="35" spans="1:16" x14ac:dyDescent="0.3">
      <c r="A35" s="6">
        <v>1</v>
      </c>
      <c r="C35" s="60">
        <v>46196</v>
      </c>
      <c r="D35" s="61" t="s">
        <v>29</v>
      </c>
      <c r="E35" s="85"/>
      <c r="F35" s="85"/>
      <c r="G35" s="85"/>
      <c r="H35" s="85"/>
      <c r="I35" s="27">
        <f t="shared" si="1"/>
        <v>0</v>
      </c>
      <c r="J35" s="27">
        <f>'Não Apagar'!$J$3</f>
        <v>8</v>
      </c>
      <c r="K35" s="28">
        <f>IF(I36=0,-'Não Apagar'!$J$3,I36-J36)</f>
        <v>-8</v>
      </c>
      <c r="L35" s="76">
        <f t="shared" si="2"/>
        <v>-304</v>
      </c>
      <c r="P35" s="6">
        <v>1</v>
      </c>
    </row>
    <row r="36" spans="1:16" x14ac:dyDescent="0.3">
      <c r="A36" s="6">
        <v>1</v>
      </c>
      <c r="C36" s="60">
        <v>46197</v>
      </c>
      <c r="D36" s="61" t="s">
        <v>34</v>
      </c>
      <c r="E36" s="85"/>
      <c r="F36" s="85"/>
      <c r="G36" s="85"/>
      <c r="H36" s="85"/>
      <c r="I36" s="27">
        <f t="shared" si="1"/>
        <v>0</v>
      </c>
      <c r="J36" s="27">
        <f>'Não Apagar'!$J$3</f>
        <v>8</v>
      </c>
      <c r="K36" s="28">
        <f>IF(I37=0,-'Não Apagar'!$J$3,I37-J37)</f>
        <v>-8</v>
      </c>
      <c r="L36" s="76">
        <f t="shared" si="2"/>
        <v>-312</v>
      </c>
      <c r="P36" s="6">
        <v>1</v>
      </c>
    </row>
    <row r="37" spans="1:16" x14ac:dyDescent="0.3">
      <c r="A37" s="6">
        <v>1</v>
      </c>
      <c r="C37" s="60">
        <v>46198</v>
      </c>
      <c r="D37" s="61" t="s">
        <v>38</v>
      </c>
      <c r="E37" s="85"/>
      <c r="F37" s="85"/>
      <c r="G37" s="85"/>
      <c r="H37" s="85"/>
      <c r="I37" s="27">
        <f t="shared" si="1"/>
        <v>0</v>
      </c>
      <c r="J37" s="27">
        <f>'Não Apagar'!$J$3</f>
        <v>8</v>
      </c>
      <c r="K37" s="28">
        <f>IF(I38=0,-'Não Apagar'!$J$3,I38-J38)</f>
        <v>-8</v>
      </c>
      <c r="L37" s="76">
        <f t="shared" si="2"/>
        <v>-320</v>
      </c>
      <c r="P37" s="6">
        <v>1</v>
      </c>
    </row>
    <row r="38" spans="1:16" x14ac:dyDescent="0.3">
      <c r="A38" s="6">
        <v>1</v>
      </c>
      <c r="C38" s="60">
        <v>46199</v>
      </c>
      <c r="D38" s="61" t="s">
        <v>35</v>
      </c>
      <c r="E38" s="85"/>
      <c r="F38" s="85"/>
      <c r="G38" s="85"/>
      <c r="H38" s="85"/>
      <c r="I38" s="27">
        <f t="shared" si="1"/>
        <v>0</v>
      </c>
      <c r="J38" s="27">
        <f>'Não Apagar'!$J$3</f>
        <v>8</v>
      </c>
      <c r="K38" s="28">
        <f>IF(I39=0,-'Não Apagar'!$J$3,I39-J39)</f>
        <v>-8</v>
      </c>
      <c r="L38" s="76">
        <f t="shared" si="2"/>
        <v>-328</v>
      </c>
      <c r="P38" s="6">
        <v>1</v>
      </c>
    </row>
    <row r="39" spans="1:16" x14ac:dyDescent="0.3">
      <c r="A39" s="6">
        <v>1</v>
      </c>
      <c r="C39" s="64">
        <v>46200</v>
      </c>
      <c r="D39" s="65" t="s">
        <v>36</v>
      </c>
      <c r="E39" s="86"/>
      <c r="F39" s="86"/>
      <c r="G39" s="86"/>
      <c r="H39" s="86"/>
      <c r="I39" s="86"/>
      <c r="J39" s="86"/>
      <c r="K39" s="86"/>
      <c r="L39" s="86"/>
      <c r="P39" s="6">
        <v>1</v>
      </c>
    </row>
    <row r="40" spans="1:16" x14ac:dyDescent="0.3">
      <c r="A40" s="6">
        <v>1</v>
      </c>
      <c r="C40" s="64">
        <v>46201</v>
      </c>
      <c r="D40" s="65" t="s">
        <v>37</v>
      </c>
      <c r="E40" s="86"/>
      <c r="F40" s="86"/>
      <c r="G40" s="86"/>
      <c r="H40" s="86"/>
      <c r="I40" s="86"/>
      <c r="J40" s="86"/>
      <c r="K40" s="86"/>
      <c r="L40" s="86"/>
      <c r="P40" s="6">
        <v>1</v>
      </c>
    </row>
    <row r="41" spans="1:16" x14ac:dyDescent="0.3">
      <c r="A41" s="6">
        <v>1</v>
      </c>
      <c r="C41" s="60">
        <v>46202</v>
      </c>
      <c r="D41" s="61" t="s">
        <v>30</v>
      </c>
      <c r="E41" s="101"/>
      <c r="F41" s="101"/>
      <c r="G41" s="101"/>
      <c r="H41" s="101"/>
      <c r="I41" s="27">
        <f t="shared" si="1"/>
        <v>0</v>
      </c>
      <c r="J41" s="27">
        <f>'Não Apagar'!$J$3</f>
        <v>8</v>
      </c>
      <c r="K41" s="28">
        <f>IF(I42=0,-'Não Apagar'!$J$3,I42-J42)</f>
        <v>-8</v>
      </c>
      <c r="L41" s="76">
        <f>K41+L38</f>
        <v>-336</v>
      </c>
      <c r="P41" s="6">
        <v>1</v>
      </c>
    </row>
    <row r="42" spans="1:16" x14ac:dyDescent="0.3">
      <c r="A42" s="6">
        <v>1</v>
      </c>
      <c r="B42" s="68"/>
      <c r="C42" s="60">
        <v>46203</v>
      </c>
      <c r="D42" s="61" t="s">
        <v>29</v>
      </c>
      <c r="E42" s="88"/>
      <c r="F42" s="88"/>
      <c r="G42" s="88"/>
      <c r="H42" s="88"/>
      <c r="I42" s="27">
        <f t="shared" si="1"/>
        <v>0</v>
      </c>
      <c r="J42" s="27">
        <f>'Não Apagar'!$J$3</f>
        <v>8</v>
      </c>
      <c r="K42" s="28">
        <f>IF(I43=0,-'Não Apagar'!$J$3,I43-J43)</f>
        <v>-8</v>
      </c>
      <c r="L42" s="76">
        <f t="shared" si="2"/>
        <v>-344</v>
      </c>
      <c r="P42" s="6">
        <v>1</v>
      </c>
    </row>
    <row r="43" spans="1:16" x14ac:dyDescent="0.3">
      <c r="A43" s="6">
        <v>1</v>
      </c>
      <c r="B43" s="68"/>
      <c r="C43" s="69"/>
      <c r="D43" s="70"/>
      <c r="E43" s="75"/>
      <c r="F43" s="75"/>
      <c r="G43" s="75"/>
      <c r="H43" s="75"/>
      <c r="I43" s="27"/>
      <c r="J43" s="27"/>
      <c r="K43" s="28"/>
      <c r="L43" s="36"/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L42</f>
        <v>-344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MZVZxUnpmz9+8QUD4Wald2mrqPYqlPO9i5hf2rYXYiCUAYctQs+pHPZByInf2Rrdbdc+KJLCVU1F254mRufOQg==" saltValue="m+rY73TjEmzBMjkGygB9tQ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3E2E-88F8-4F9C-A3DB-CD2ADA50F316}">
  <dimension ref="A1:P62"/>
  <sheetViews>
    <sheetView showGridLines="0" zoomScale="85" zoomScaleNormal="85" workbookViewId="0">
      <selection activeCell="D5" sqref="D5:G5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2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43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42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0">
        <v>46204</v>
      </c>
      <c r="D13" s="61" t="s">
        <v>34</v>
      </c>
      <c r="E13" s="85"/>
      <c r="F13" s="85"/>
      <c r="G13" s="85"/>
      <c r="H13" s="85"/>
      <c r="I13" s="27">
        <f t="shared" ref="I13:I42" si="0">((H13-E13)-(G13-F13))*24</f>
        <v>0</v>
      </c>
      <c r="J13" s="27">
        <f>'Não Apagar'!$J$3</f>
        <v>8</v>
      </c>
      <c r="K13" s="28">
        <f>IF(I14=0,-'Não Apagar'!$J$3,I14-J14)</f>
        <v>-8</v>
      </c>
      <c r="L13" s="76">
        <f>K13+Jun.26!L46</f>
        <v>-352</v>
      </c>
      <c r="P13" s="6">
        <v>1</v>
      </c>
    </row>
    <row r="14" spans="1:16" x14ac:dyDescent="0.3">
      <c r="A14" s="6">
        <v>1</v>
      </c>
      <c r="C14" s="60">
        <v>46205</v>
      </c>
      <c r="D14" s="61" t="s">
        <v>38</v>
      </c>
      <c r="E14" s="85"/>
      <c r="F14" s="85"/>
      <c r="G14" s="85"/>
      <c r="H14" s="85"/>
      <c r="I14" s="27">
        <f t="shared" si="0"/>
        <v>0</v>
      </c>
      <c r="J14" s="27">
        <f>'Não Apagar'!$J$3</f>
        <v>8</v>
      </c>
      <c r="K14" s="28">
        <f>IF(I15=0,-'Não Apagar'!$J$3,I15-J15)</f>
        <v>-8</v>
      </c>
      <c r="L14" s="76">
        <f>K14+L13</f>
        <v>-360</v>
      </c>
      <c r="P14" s="6">
        <v>1</v>
      </c>
    </row>
    <row r="15" spans="1:16" x14ac:dyDescent="0.3">
      <c r="A15" s="6">
        <v>1</v>
      </c>
      <c r="C15" s="60">
        <v>46206</v>
      </c>
      <c r="D15" s="61" t="s">
        <v>35</v>
      </c>
      <c r="E15" s="85"/>
      <c r="F15" s="85"/>
      <c r="G15" s="85"/>
      <c r="H15" s="85"/>
      <c r="I15" s="27">
        <f t="shared" ref="I15:I42" si="1">((H15-E15)-(G15-F15))*24</f>
        <v>0</v>
      </c>
      <c r="J15" s="27">
        <f>'Não Apagar'!$J$3</f>
        <v>8</v>
      </c>
      <c r="K15" s="28">
        <f>IF(I16=0,-'Não Apagar'!$J$3,I16-J16)</f>
        <v>-8</v>
      </c>
      <c r="L15" s="76">
        <f t="shared" ref="L15:L42" si="2">K15+L14</f>
        <v>-368</v>
      </c>
      <c r="P15" s="6">
        <v>1</v>
      </c>
    </row>
    <row r="16" spans="1:16" x14ac:dyDescent="0.3">
      <c r="A16" s="6">
        <v>1</v>
      </c>
      <c r="C16" s="64">
        <v>46207</v>
      </c>
      <c r="D16" s="65" t="s">
        <v>36</v>
      </c>
      <c r="E16" s="86"/>
      <c r="F16" s="86"/>
      <c r="G16" s="86"/>
      <c r="H16" s="86"/>
      <c r="I16" s="86"/>
      <c r="J16" s="86"/>
      <c r="K16" s="86"/>
      <c r="L16" s="86"/>
      <c r="P16" s="6">
        <v>1</v>
      </c>
    </row>
    <row r="17" spans="1:16" x14ac:dyDescent="0.3">
      <c r="A17" s="6">
        <v>1</v>
      </c>
      <c r="C17" s="64">
        <v>46208</v>
      </c>
      <c r="D17" s="65" t="s">
        <v>37</v>
      </c>
      <c r="E17" s="86"/>
      <c r="F17" s="86"/>
      <c r="G17" s="86"/>
      <c r="H17" s="86"/>
      <c r="I17" s="86"/>
      <c r="J17" s="86"/>
      <c r="K17" s="86"/>
      <c r="L17" s="86"/>
      <c r="P17" s="6">
        <v>1</v>
      </c>
    </row>
    <row r="18" spans="1:16" x14ac:dyDescent="0.3">
      <c r="A18" s="6">
        <v>1</v>
      </c>
      <c r="C18" s="60">
        <v>46209</v>
      </c>
      <c r="D18" s="61" t="s">
        <v>30</v>
      </c>
      <c r="E18" s="85"/>
      <c r="F18" s="85"/>
      <c r="G18" s="85"/>
      <c r="H18" s="85"/>
      <c r="I18" s="27">
        <f t="shared" si="1"/>
        <v>0</v>
      </c>
      <c r="J18" s="27">
        <f>'Não Apagar'!$J$3</f>
        <v>8</v>
      </c>
      <c r="K18" s="28">
        <f>IF(I19=0,-'Não Apagar'!$J$3,I19-J19)</f>
        <v>-8</v>
      </c>
      <c r="L18" s="76">
        <f>K18+L15</f>
        <v>-376</v>
      </c>
      <c r="P18" s="6">
        <v>1</v>
      </c>
    </row>
    <row r="19" spans="1:16" x14ac:dyDescent="0.3">
      <c r="A19" s="6">
        <v>1</v>
      </c>
      <c r="C19" s="60">
        <v>46210</v>
      </c>
      <c r="D19" s="61" t="s">
        <v>29</v>
      </c>
      <c r="E19" s="85"/>
      <c r="F19" s="85"/>
      <c r="G19" s="85"/>
      <c r="H19" s="85"/>
      <c r="I19" s="27">
        <f t="shared" si="1"/>
        <v>0</v>
      </c>
      <c r="J19" s="27">
        <f>'Não Apagar'!$J$3</f>
        <v>8</v>
      </c>
      <c r="K19" s="28">
        <f>IF(I20=0,-'Não Apagar'!$J$3,I20-J20)</f>
        <v>-8</v>
      </c>
      <c r="L19" s="76">
        <f t="shared" si="2"/>
        <v>-384</v>
      </c>
      <c r="P19" s="6">
        <v>1</v>
      </c>
    </row>
    <row r="20" spans="1:16" x14ac:dyDescent="0.3">
      <c r="A20" s="6">
        <v>1</v>
      </c>
      <c r="C20" s="60">
        <v>46211</v>
      </c>
      <c r="D20" s="61" t="s">
        <v>34</v>
      </c>
      <c r="E20" s="85"/>
      <c r="F20" s="85"/>
      <c r="G20" s="85"/>
      <c r="H20" s="85"/>
      <c r="I20" s="27">
        <f t="shared" si="1"/>
        <v>0</v>
      </c>
      <c r="J20" s="27">
        <f>'Não Apagar'!$J$3</f>
        <v>8</v>
      </c>
      <c r="K20" s="28">
        <f>IF(I21=0,-'Não Apagar'!$J$3,I21-J21)</f>
        <v>-8</v>
      </c>
      <c r="L20" s="76">
        <f t="shared" si="2"/>
        <v>-392</v>
      </c>
      <c r="P20" s="6">
        <v>1</v>
      </c>
    </row>
    <row r="21" spans="1:16" x14ac:dyDescent="0.3">
      <c r="A21" s="6">
        <v>1</v>
      </c>
      <c r="C21" s="60">
        <v>46212</v>
      </c>
      <c r="D21" s="61" t="s">
        <v>38</v>
      </c>
      <c r="E21" s="85"/>
      <c r="F21" s="85"/>
      <c r="G21" s="85"/>
      <c r="H21" s="85"/>
      <c r="I21" s="27">
        <f t="shared" si="1"/>
        <v>0</v>
      </c>
      <c r="J21" s="27">
        <f>'Não Apagar'!$J$3</f>
        <v>8</v>
      </c>
      <c r="K21" s="28">
        <f>IF(I22=0,-'Não Apagar'!$J$3,I22-J22)</f>
        <v>-8</v>
      </c>
      <c r="L21" s="76">
        <f t="shared" si="2"/>
        <v>-400</v>
      </c>
      <c r="P21" s="6">
        <v>1</v>
      </c>
    </row>
    <row r="22" spans="1:16" x14ac:dyDescent="0.3">
      <c r="A22" s="6">
        <v>1</v>
      </c>
      <c r="C22" s="60">
        <v>46213</v>
      </c>
      <c r="D22" s="61" t="s">
        <v>35</v>
      </c>
      <c r="E22" s="85"/>
      <c r="F22" s="85"/>
      <c r="G22" s="85"/>
      <c r="H22" s="85"/>
      <c r="I22" s="27">
        <f t="shared" si="1"/>
        <v>0</v>
      </c>
      <c r="J22" s="27">
        <f>'Não Apagar'!$J$3</f>
        <v>8</v>
      </c>
      <c r="K22" s="28">
        <f>IF(I23=0,-'Não Apagar'!$J$3,I23-J23)</f>
        <v>-8</v>
      </c>
      <c r="L22" s="76">
        <f t="shared" si="2"/>
        <v>-408</v>
      </c>
      <c r="P22" s="6">
        <v>1</v>
      </c>
    </row>
    <row r="23" spans="1:16" x14ac:dyDescent="0.3">
      <c r="A23" s="6">
        <v>1</v>
      </c>
      <c r="C23" s="64">
        <v>46214</v>
      </c>
      <c r="D23" s="65" t="s">
        <v>36</v>
      </c>
      <c r="E23" s="86"/>
      <c r="F23" s="86"/>
      <c r="G23" s="86"/>
      <c r="H23" s="86"/>
      <c r="I23" s="86"/>
      <c r="J23" s="86"/>
      <c r="K23" s="86"/>
      <c r="L23" s="86"/>
      <c r="P23" s="6">
        <v>1</v>
      </c>
    </row>
    <row r="24" spans="1:16" x14ac:dyDescent="0.3">
      <c r="A24" s="6">
        <v>1</v>
      </c>
      <c r="C24" s="64">
        <v>46215</v>
      </c>
      <c r="D24" s="65" t="s">
        <v>37</v>
      </c>
      <c r="E24" s="86"/>
      <c r="F24" s="86"/>
      <c r="G24" s="86"/>
      <c r="H24" s="86"/>
      <c r="I24" s="86"/>
      <c r="J24" s="86"/>
      <c r="K24" s="86"/>
      <c r="L24" s="86"/>
      <c r="P24" s="6">
        <v>1</v>
      </c>
    </row>
    <row r="25" spans="1:16" x14ac:dyDescent="0.3">
      <c r="A25" s="6">
        <v>1</v>
      </c>
      <c r="C25" s="60">
        <v>46216</v>
      </c>
      <c r="D25" s="61" t="s">
        <v>30</v>
      </c>
      <c r="E25" s="85"/>
      <c r="F25" s="85"/>
      <c r="G25" s="85"/>
      <c r="H25" s="85"/>
      <c r="I25" s="27">
        <f t="shared" si="1"/>
        <v>0</v>
      </c>
      <c r="J25" s="27">
        <f>'Não Apagar'!$J$3</f>
        <v>8</v>
      </c>
      <c r="K25" s="28">
        <f>IF(I26=0,-'Não Apagar'!$J$3,I26-J26)</f>
        <v>-8</v>
      </c>
      <c r="L25" s="76">
        <f>K25+L22</f>
        <v>-416</v>
      </c>
      <c r="P25" s="6">
        <v>1</v>
      </c>
    </row>
    <row r="26" spans="1:16" x14ac:dyDescent="0.3">
      <c r="A26" s="6">
        <v>1</v>
      </c>
      <c r="C26" s="60">
        <v>46217</v>
      </c>
      <c r="D26" s="61" t="s">
        <v>29</v>
      </c>
      <c r="E26" s="85"/>
      <c r="F26" s="85"/>
      <c r="G26" s="85"/>
      <c r="H26" s="85"/>
      <c r="I26" s="27">
        <f t="shared" si="1"/>
        <v>0</v>
      </c>
      <c r="J26" s="27">
        <f>'Não Apagar'!$J$3</f>
        <v>8</v>
      </c>
      <c r="K26" s="28">
        <f>IF(I27=0,-'Não Apagar'!$J$3,I27-J27)</f>
        <v>-8</v>
      </c>
      <c r="L26" s="76">
        <f t="shared" si="2"/>
        <v>-424</v>
      </c>
      <c r="P26" s="6">
        <v>1</v>
      </c>
    </row>
    <row r="27" spans="1:16" x14ac:dyDescent="0.3">
      <c r="A27" s="6">
        <v>1</v>
      </c>
      <c r="C27" s="60">
        <v>46218</v>
      </c>
      <c r="D27" s="61" t="s">
        <v>34</v>
      </c>
      <c r="E27" s="85"/>
      <c r="F27" s="85"/>
      <c r="G27" s="85"/>
      <c r="H27" s="85"/>
      <c r="I27" s="27">
        <f t="shared" si="1"/>
        <v>0</v>
      </c>
      <c r="J27" s="27">
        <f>'Não Apagar'!$J$3</f>
        <v>8</v>
      </c>
      <c r="K27" s="28">
        <f>IF(I28=0,-'Não Apagar'!$J$3,I28-J28)</f>
        <v>-8</v>
      </c>
      <c r="L27" s="76">
        <f t="shared" si="2"/>
        <v>-432</v>
      </c>
      <c r="P27" s="6">
        <v>1</v>
      </c>
    </row>
    <row r="28" spans="1:16" x14ac:dyDescent="0.3">
      <c r="A28" s="6">
        <v>1</v>
      </c>
      <c r="C28" s="60">
        <v>46219</v>
      </c>
      <c r="D28" s="61" t="s">
        <v>38</v>
      </c>
      <c r="E28" s="85"/>
      <c r="F28" s="85"/>
      <c r="G28" s="85"/>
      <c r="H28" s="85"/>
      <c r="I28" s="27">
        <f t="shared" si="1"/>
        <v>0</v>
      </c>
      <c r="J28" s="27">
        <f>'Não Apagar'!$J$3</f>
        <v>8</v>
      </c>
      <c r="K28" s="28">
        <f>IF(I29=0,-'Não Apagar'!$J$3,I29-J29)</f>
        <v>-8</v>
      </c>
      <c r="L28" s="76">
        <f t="shared" si="2"/>
        <v>-440</v>
      </c>
      <c r="P28" s="6">
        <v>1</v>
      </c>
    </row>
    <row r="29" spans="1:16" x14ac:dyDescent="0.3">
      <c r="A29" s="6">
        <v>1</v>
      </c>
      <c r="C29" s="60">
        <v>46220</v>
      </c>
      <c r="D29" s="61" t="s">
        <v>35</v>
      </c>
      <c r="E29" s="85"/>
      <c r="F29" s="85"/>
      <c r="G29" s="85"/>
      <c r="H29" s="85"/>
      <c r="I29" s="27">
        <f t="shared" si="1"/>
        <v>0</v>
      </c>
      <c r="J29" s="27">
        <f>'Não Apagar'!$J$3</f>
        <v>8</v>
      </c>
      <c r="K29" s="28">
        <f>IF(I30=0,-'Não Apagar'!$J$3,I30-J30)</f>
        <v>-8</v>
      </c>
      <c r="L29" s="76">
        <f t="shared" si="2"/>
        <v>-448</v>
      </c>
      <c r="P29" s="6">
        <v>1</v>
      </c>
    </row>
    <row r="30" spans="1:16" x14ac:dyDescent="0.3">
      <c r="A30" s="6">
        <v>1</v>
      </c>
      <c r="C30" s="64">
        <v>46221</v>
      </c>
      <c r="D30" s="65" t="s">
        <v>36</v>
      </c>
      <c r="E30" s="86"/>
      <c r="F30" s="86"/>
      <c r="G30" s="86"/>
      <c r="H30" s="86"/>
      <c r="I30" s="86"/>
      <c r="J30" s="86"/>
      <c r="K30" s="86"/>
      <c r="L30" s="86"/>
      <c r="P30" s="6">
        <v>1</v>
      </c>
    </row>
    <row r="31" spans="1:16" x14ac:dyDescent="0.3">
      <c r="A31" s="6">
        <v>1</v>
      </c>
      <c r="C31" s="64">
        <v>46222</v>
      </c>
      <c r="D31" s="65" t="s">
        <v>37</v>
      </c>
      <c r="E31" s="86"/>
      <c r="F31" s="86"/>
      <c r="G31" s="86"/>
      <c r="H31" s="86"/>
      <c r="I31" s="86"/>
      <c r="J31" s="86"/>
      <c r="K31" s="86"/>
      <c r="L31" s="86"/>
      <c r="P31" s="6">
        <v>1</v>
      </c>
    </row>
    <row r="32" spans="1:16" x14ac:dyDescent="0.3">
      <c r="A32" s="6">
        <v>1</v>
      </c>
      <c r="C32" s="60">
        <v>46223</v>
      </c>
      <c r="D32" s="61" t="s">
        <v>30</v>
      </c>
      <c r="E32" s="85"/>
      <c r="F32" s="85"/>
      <c r="G32" s="85"/>
      <c r="H32" s="85"/>
      <c r="I32" s="27">
        <f t="shared" si="1"/>
        <v>0</v>
      </c>
      <c r="J32" s="27">
        <f>'Não Apagar'!$J$3</f>
        <v>8</v>
      </c>
      <c r="K32" s="28">
        <f>IF(I33=0,-'Não Apagar'!$J$3,I33-J33)</f>
        <v>-8</v>
      </c>
      <c r="L32" s="76">
        <f>K32+L29</f>
        <v>-456</v>
      </c>
      <c r="P32" s="6">
        <v>1</v>
      </c>
    </row>
    <row r="33" spans="1:16" x14ac:dyDescent="0.3">
      <c r="A33" s="6">
        <v>1</v>
      </c>
      <c r="C33" s="60">
        <v>46224</v>
      </c>
      <c r="D33" s="61" t="s">
        <v>29</v>
      </c>
      <c r="E33" s="85"/>
      <c r="F33" s="85"/>
      <c r="G33" s="85"/>
      <c r="H33" s="85"/>
      <c r="I33" s="27">
        <f t="shared" si="1"/>
        <v>0</v>
      </c>
      <c r="J33" s="27">
        <f>'Não Apagar'!$J$3</f>
        <v>8</v>
      </c>
      <c r="K33" s="28">
        <f>IF(I34=0,-'Não Apagar'!$J$3,I34-J34)</f>
        <v>-8</v>
      </c>
      <c r="L33" s="76">
        <f t="shared" si="2"/>
        <v>-464</v>
      </c>
      <c r="P33" s="6">
        <v>1</v>
      </c>
    </row>
    <row r="34" spans="1:16" x14ac:dyDescent="0.3">
      <c r="A34" s="6">
        <v>1</v>
      </c>
      <c r="C34" s="60">
        <v>46225</v>
      </c>
      <c r="D34" s="61" t="s">
        <v>34</v>
      </c>
      <c r="E34" s="85"/>
      <c r="F34" s="85"/>
      <c r="G34" s="85"/>
      <c r="H34" s="85"/>
      <c r="I34" s="27">
        <f t="shared" si="1"/>
        <v>0</v>
      </c>
      <c r="J34" s="27">
        <f>'Não Apagar'!$J$3</f>
        <v>8</v>
      </c>
      <c r="K34" s="28">
        <f>IF(I35=0,-'Não Apagar'!$J$3,I35-J35)</f>
        <v>-8</v>
      </c>
      <c r="L34" s="76">
        <f t="shared" si="2"/>
        <v>-472</v>
      </c>
      <c r="P34" s="6">
        <v>1</v>
      </c>
    </row>
    <row r="35" spans="1:16" x14ac:dyDescent="0.3">
      <c r="A35" s="6">
        <v>1</v>
      </c>
      <c r="C35" s="60">
        <v>46226</v>
      </c>
      <c r="D35" s="61" t="s">
        <v>38</v>
      </c>
      <c r="E35" s="85"/>
      <c r="F35" s="85"/>
      <c r="G35" s="85"/>
      <c r="H35" s="85"/>
      <c r="I35" s="27">
        <f t="shared" si="1"/>
        <v>0</v>
      </c>
      <c r="J35" s="27">
        <f>'Não Apagar'!$J$3</f>
        <v>8</v>
      </c>
      <c r="K35" s="28">
        <f>IF(I36=0,-'Não Apagar'!$J$3,I36-J36)</f>
        <v>-8</v>
      </c>
      <c r="L35" s="76">
        <f t="shared" si="2"/>
        <v>-480</v>
      </c>
      <c r="P35" s="6">
        <v>1</v>
      </c>
    </row>
    <row r="36" spans="1:16" x14ac:dyDescent="0.3">
      <c r="A36" s="6">
        <v>1</v>
      </c>
      <c r="C36" s="60">
        <v>46227</v>
      </c>
      <c r="D36" s="61" t="s">
        <v>35</v>
      </c>
      <c r="E36" s="85"/>
      <c r="F36" s="85"/>
      <c r="G36" s="85"/>
      <c r="H36" s="85"/>
      <c r="I36" s="27">
        <f t="shared" si="1"/>
        <v>0</v>
      </c>
      <c r="J36" s="27">
        <f>'Não Apagar'!$J$3</f>
        <v>8</v>
      </c>
      <c r="K36" s="28">
        <f>IF(I37=0,-'Não Apagar'!$J$3,I37-J37)</f>
        <v>-8</v>
      </c>
      <c r="L36" s="76">
        <f t="shared" si="2"/>
        <v>-488</v>
      </c>
      <c r="P36" s="6">
        <v>1</v>
      </c>
    </row>
    <row r="37" spans="1:16" x14ac:dyDescent="0.3">
      <c r="A37" s="6">
        <v>1</v>
      </c>
      <c r="C37" s="64">
        <v>46228</v>
      </c>
      <c r="D37" s="65" t="s">
        <v>36</v>
      </c>
      <c r="E37" s="86"/>
      <c r="F37" s="86"/>
      <c r="G37" s="86"/>
      <c r="H37" s="86"/>
      <c r="I37" s="86"/>
      <c r="J37" s="86"/>
      <c r="K37" s="86"/>
      <c r="L37" s="86"/>
      <c r="P37" s="6">
        <v>1</v>
      </c>
    </row>
    <row r="38" spans="1:16" x14ac:dyDescent="0.3">
      <c r="A38" s="6">
        <v>1</v>
      </c>
      <c r="C38" s="64">
        <v>46229</v>
      </c>
      <c r="D38" s="65" t="s">
        <v>37</v>
      </c>
      <c r="E38" s="86"/>
      <c r="F38" s="86"/>
      <c r="G38" s="86"/>
      <c r="H38" s="86"/>
      <c r="I38" s="86"/>
      <c r="J38" s="86"/>
      <c r="K38" s="86"/>
      <c r="L38" s="86"/>
      <c r="P38" s="6">
        <v>1</v>
      </c>
    </row>
    <row r="39" spans="1:16" x14ac:dyDescent="0.3">
      <c r="A39" s="6">
        <v>1</v>
      </c>
      <c r="C39" s="60">
        <v>46230</v>
      </c>
      <c r="D39" s="61" t="s">
        <v>30</v>
      </c>
      <c r="E39" s="85"/>
      <c r="F39" s="85"/>
      <c r="G39" s="85"/>
      <c r="H39" s="85"/>
      <c r="I39" s="27">
        <f t="shared" si="1"/>
        <v>0</v>
      </c>
      <c r="J39" s="27">
        <f>'Não Apagar'!$J$3</f>
        <v>8</v>
      </c>
      <c r="K39" s="28">
        <f>IF(I40=0,-'Não Apagar'!$J$3,I40-J40)</f>
        <v>-8</v>
      </c>
      <c r="L39" s="76">
        <f>K39+L36</f>
        <v>-496</v>
      </c>
      <c r="P39" s="6">
        <v>1</v>
      </c>
    </row>
    <row r="40" spans="1:16" x14ac:dyDescent="0.3">
      <c r="A40" s="6">
        <v>1</v>
      </c>
      <c r="C40" s="60">
        <v>46231</v>
      </c>
      <c r="D40" s="61" t="s">
        <v>29</v>
      </c>
      <c r="E40" s="85"/>
      <c r="F40" s="85"/>
      <c r="G40" s="85"/>
      <c r="H40" s="85"/>
      <c r="I40" s="27">
        <f t="shared" si="1"/>
        <v>0</v>
      </c>
      <c r="J40" s="27">
        <f>'Não Apagar'!$J$3</f>
        <v>8</v>
      </c>
      <c r="K40" s="28">
        <f>IF(I41=0,-'Não Apagar'!$J$3,I41-J41)</f>
        <v>-8</v>
      </c>
      <c r="L40" s="76">
        <f t="shared" si="2"/>
        <v>-504</v>
      </c>
      <c r="P40" s="6">
        <v>1</v>
      </c>
    </row>
    <row r="41" spans="1:16" x14ac:dyDescent="0.3">
      <c r="A41" s="6">
        <v>1</v>
      </c>
      <c r="C41" s="60">
        <v>46232</v>
      </c>
      <c r="D41" s="61" t="s">
        <v>34</v>
      </c>
      <c r="E41" s="85"/>
      <c r="F41" s="85"/>
      <c r="G41" s="85"/>
      <c r="H41" s="85"/>
      <c r="I41" s="27">
        <f t="shared" si="1"/>
        <v>0</v>
      </c>
      <c r="J41" s="27">
        <f>'Não Apagar'!$J$3</f>
        <v>8</v>
      </c>
      <c r="K41" s="28">
        <f>IF(I42=0,-'Não Apagar'!$J$3,I42-J42)</f>
        <v>-8</v>
      </c>
      <c r="L41" s="76">
        <f t="shared" si="2"/>
        <v>-512</v>
      </c>
      <c r="P41" s="6">
        <v>1</v>
      </c>
    </row>
    <row r="42" spans="1:16" x14ac:dyDescent="0.3">
      <c r="A42" s="6">
        <v>1</v>
      </c>
      <c r="B42" s="68"/>
      <c r="C42" s="60">
        <v>46233</v>
      </c>
      <c r="D42" s="61" t="s">
        <v>38</v>
      </c>
      <c r="E42" s="88"/>
      <c r="F42" s="88"/>
      <c r="G42" s="88"/>
      <c r="H42" s="88"/>
      <c r="I42" s="27">
        <f t="shared" si="1"/>
        <v>0</v>
      </c>
      <c r="J42" s="27">
        <f>'Não Apagar'!$J$3</f>
        <v>8</v>
      </c>
      <c r="K42" s="28">
        <f>IF(I43=0,-'Não Apagar'!$J$3,I43-J43)</f>
        <v>-8</v>
      </c>
      <c r="L42" s="76">
        <f t="shared" si="2"/>
        <v>-520</v>
      </c>
      <c r="P42" s="6">
        <v>1</v>
      </c>
    </row>
    <row r="43" spans="1:16" x14ac:dyDescent="0.3">
      <c r="A43" s="6">
        <v>1</v>
      </c>
      <c r="B43" s="68"/>
      <c r="C43" s="60">
        <v>46234</v>
      </c>
      <c r="D43" s="61" t="s">
        <v>35</v>
      </c>
      <c r="E43" s="88"/>
      <c r="F43" s="88"/>
      <c r="G43" s="88"/>
      <c r="H43" s="88"/>
      <c r="I43" s="27"/>
      <c r="J43" s="27"/>
      <c r="K43" s="28"/>
      <c r="L43" s="36"/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L42</f>
        <v>-520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QreOw5bFIbLqzNhxvNDJE0mk7v8D6AqLQSLlvITBluBVP2PLSLd713O6NAIpb7B+ERmc8a6wzMstNUR6KnY9AQ==" saltValue="jHH1ekfIzw/TNdwqoobLug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5130C-D8E8-4944-B3E6-086DBCCE4F79}">
  <dimension ref="A1:P62"/>
  <sheetViews>
    <sheetView showGridLines="0" zoomScale="85" zoomScaleNormal="85" workbookViewId="0">
      <selection activeCell="F15" sqref="F15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2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40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41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4">
        <v>46235</v>
      </c>
      <c r="D13" s="65" t="s">
        <v>36</v>
      </c>
      <c r="E13" s="86"/>
      <c r="F13" s="86"/>
      <c r="G13" s="86"/>
      <c r="H13" s="86"/>
      <c r="I13" s="23"/>
      <c r="J13" s="23"/>
      <c r="K13" s="24"/>
      <c r="L13" s="97"/>
      <c r="P13" s="6">
        <v>1</v>
      </c>
    </row>
    <row r="14" spans="1:16" x14ac:dyDescent="0.3">
      <c r="A14" s="6">
        <v>1</v>
      </c>
      <c r="C14" s="64">
        <v>46236</v>
      </c>
      <c r="D14" s="65" t="s">
        <v>37</v>
      </c>
      <c r="E14" s="86"/>
      <c r="F14" s="86"/>
      <c r="G14" s="86"/>
      <c r="H14" s="86"/>
      <c r="I14" s="23"/>
      <c r="J14" s="23"/>
      <c r="K14" s="24"/>
      <c r="L14" s="97"/>
      <c r="P14" s="6">
        <v>1</v>
      </c>
    </row>
    <row r="15" spans="1:16" x14ac:dyDescent="0.3">
      <c r="A15" s="6">
        <v>1</v>
      </c>
      <c r="C15" s="60">
        <v>46237</v>
      </c>
      <c r="D15" s="61" t="s">
        <v>30</v>
      </c>
      <c r="E15" s="85"/>
      <c r="F15" s="85"/>
      <c r="G15" s="85"/>
      <c r="H15" s="85"/>
      <c r="I15" s="27">
        <f t="shared" ref="I13:I42" si="0">((H15-E15)-(G15-F15))*24</f>
        <v>0</v>
      </c>
      <c r="J15" s="27">
        <f>'Não Apagar'!$J$3</f>
        <v>8</v>
      </c>
      <c r="K15" s="28">
        <f>IF(I16=0,-'Não Apagar'!$J$3,I16-J16)</f>
        <v>-8</v>
      </c>
      <c r="L15" s="76">
        <f>K15+Jul.26!L46</f>
        <v>-528</v>
      </c>
      <c r="P15" s="6">
        <v>1</v>
      </c>
    </row>
    <row r="16" spans="1:16" x14ac:dyDescent="0.3">
      <c r="A16" s="6">
        <v>1</v>
      </c>
      <c r="C16" s="60">
        <v>46238</v>
      </c>
      <c r="D16" s="61" t="s">
        <v>29</v>
      </c>
      <c r="E16" s="85"/>
      <c r="F16" s="85"/>
      <c r="G16" s="85"/>
      <c r="H16" s="85"/>
      <c r="I16" s="27">
        <f t="shared" si="0"/>
        <v>0</v>
      </c>
      <c r="J16" s="27">
        <f>'Não Apagar'!$J$3</f>
        <v>8</v>
      </c>
      <c r="K16" s="28">
        <f>IF(I17=0,-'Não Apagar'!$J$3,I17-J17)</f>
        <v>-8</v>
      </c>
      <c r="L16" s="76">
        <f t="shared" ref="L15:L42" si="1">K16+L15</f>
        <v>-536</v>
      </c>
      <c r="P16" s="6">
        <v>1</v>
      </c>
    </row>
    <row r="17" spans="1:16" x14ac:dyDescent="0.3">
      <c r="A17" s="6">
        <v>1</v>
      </c>
      <c r="C17" s="60">
        <v>46239</v>
      </c>
      <c r="D17" s="61" t="s">
        <v>34</v>
      </c>
      <c r="E17" s="85"/>
      <c r="F17" s="85"/>
      <c r="G17" s="85"/>
      <c r="H17" s="85"/>
      <c r="I17" s="27">
        <f t="shared" ref="I17:I42" si="2">((H17-E17)-(G17-F17))*24</f>
        <v>0</v>
      </c>
      <c r="J17" s="27">
        <f>'Não Apagar'!$J$3</f>
        <v>8</v>
      </c>
      <c r="K17" s="28">
        <f>IF(I18=0,-'Não Apagar'!$J$3,I18-J18)</f>
        <v>-8</v>
      </c>
      <c r="L17" s="76">
        <f t="shared" ref="L17:L42" si="3">K17+L16</f>
        <v>-544</v>
      </c>
      <c r="P17" s="6">
        <v>1</v>
      </c>
    </row>
    <row r="18" spans="1:16" x14ac:dyDescent="0.3">
      <c r="A18" s="6">
        <v>1</v>
      </c>
      <c r="C18" s="60">
        <v>46240</v>
      </c>
      <c r="D18" s="61" t="s">
        <v>38</v>
      </c>
      <c r="E18" s="85"/>
      <c r="F18" s="85"/>
      <c r="G18" s="85"/>
      <c r="H18" s="85"/>
      <c r="I18" s="27">
        <f t="shared" si="2"/>
        <v>0</v>
      </c>
      <c r="J18" s="27">
        <f>'Não Apagar'!$J$3</f>
        <v>8</v>
      </c>
      <c r="K18" s="28">
        <f>IF(I19=0,-'Não Apagar'!$J$3,I19-J19)</f>
        <v>-8</v>
      </c>
      <c r="L18" s="76">
        <f t="shared" si="3"/>
        <v>-552</v>
      </c>
      <c r="P18" s="6">
        <v>1</v>
      </c>
    </row>
    <row r="19" spans="1:16" x14ac:dyDescent="0.3">
      <c r="A19" s="6">
        <v>1</v>
      </c>
      <c r="C19" s="60">
        <v>46241</v>
      </c>
      <c r="D19" s="61" t="s">
        <v>35</v>
      </c>
      <c r="E19" s="85"/>
      <c r="F19" s="85"/>
      <c r="G19" s="85"/>
      <c r="H19" s="85"/>
      <c r="I19" s="27">
        <f t="shared" si="2"/>
        <v>0</v>
      </c>
      <c r="J19" s="27">
        <f>'Não Apagar'!$J$3</f>
        <v>8</v>
      </c>
      <c r="K19" s="28">
        <f>IF(I20=0,-'Não Apagar'!$J$3,I20-J20)</f>
        <v>-8</v>
      </c>
      <c r="L19" s="76">
        <f t="shared" si="3"/>
        <v>-560</v>
      </c>
      <c r="P19" s="6">
        <v>1</v>
      </c>
    </row>
    <row r="20" spans="1:16" x14ac:dyDescent="0.3">
      <c r="A20" s="6">
        <v>1</v>
      </c>
      <c r="C20" s="64">
        <v>46242</v>
      </c>
      <c r="D20" s="65" t="s">
        <v>36</v>
      </c>
      <c r="E20" s="86"/>
      <c r="F20" s="86"/>
      <c r="G20" s="86"/>
      <c r="H20" s="86"/>
      <c r="I20" s="98"/>
      <c r="J20" s="98"/>
      <c r="K20" s="98"/>
      <c r="L20" s="98"/>
      <c r="P20" s="6">
        <v>1</v>
      </c>
    </row>
    <row r="21" spans="1:16" x14ac:dyDescent="0.3">
      <c r="A21" s="6">
        <v>1</v>
      </c>
      <c r="C21" s="64">
        <v>46243</v>
      </c>
      <c r="D21" s="65" t="s">
        <v>37</v>
      </c>
      <c r="E21" s="86"/>
      <c r="F21" s="86"/>
      <c r="G21" s="86"/>
      <c r="H21" s="86"/>
      <c r="I21" s="74"/>
      <c r="J21" s="74"/>
      <c r="K21" s="74"/>
      <c r="L21" s="74"/>
      <c r="P21" s="6">
        <v>1</v>
      </c>
    </row>
    <row r="22" spans="1:16" x14ac:dyDescent="0.3">
      <c r="A22" s="6">
        <v>1</v>
      </c>
      <c r="C22" s="60">
        <v>46244</v>
      </c>
      <c r="D22" s="61" t="s">
        <v>30</v>
      </c>
      <c r="E22" s="85"/>
      <c r="F22" s="85"/>
      <c r="G22" s="85"/>
      <c r="H22" s="85"/>
      <c r="I22" s="27">
        <f t="shared" si="2"/>
        <v>0</v>
      </c>
      <c r="J22" s="27">
        <f>'Não Apagar'!$J$3</f>
        <v>8</v>
      </c>
      <c r="K22" s="28">
        <f>IF(I23=0,-'Não Apagar'!$J$3,I23-J23)</f>
        <v>-8</v>
      </c>
      <c r="L22" s="76">
        <f>K22+L19</f>
        <v>-568</v>
      </c>
      <c r="P22" s="6">
        <v>1</v>
      </c>
    </row>
    <row r="23" spans="1:16" x14ac:dyDescent="0.3">
      <c r="A23" s="6">
        <v>1</v>
      </c>
      <c r="C23" s="60">
        <v>46245</v>
      </c>
      <c r="D23" s="61" t="s">
        <v>29</v>
      </c>
      <c r="E23" s="85"/>
      <c r="F23" s="85"/>
      <c r="G23" s="85"/>
      <c r="H23" s="85"/>
      <c r="I23" s="27">
        <f t="shared" si="2"/>
        <v>0</v>
      </c>
      <c r="J23" s="27">
        <f>'Não Apagar'!$J$3</f>
        <v>8</v>
      </c>
      <c r="K23" s="28">
        <f>IF(I24=0,-'Não Apagar'!$J$3,I24-J24)</f>
        <v>-8</v>
      </c>
      <c r="L23" s="76">
        <f t="shared" si="3"/>
        <v>-576</v>
      </c>
      <c r="P23" s="6">
        <v>1</v>
      </c>
    </row>
    <row r="24" spans="1:16" x14ac:dyDescent="0.3">
      <c r="A24" s="6">
        <v>1</v>
      </c>
      <c r="C24" s="60">
        <v>46246</v>
      </c>
      <c r="D24" s="61" t="s">
        <v>34</v>
      </c>
      <c r="E24" s="85"/>
      <c r="F24" s="85"/>
      <c r="G24" s="85"/>
      <c r="H24" s="85"/>
      <c r="I24" s="27">
        <f t="shared" si="2"/>
        <v>0</v>
      </c>
      <c r="J24" s="27">
        <f>'Não Apagar'!$J$3</f>
        <v>8</v>
      </c>
      <c r="K24" s="28">
        <f>IF(I25=0,-'Não Apagar'!$J$3,I25-J25)</f>
        <v>-8</v>
      </c>
      <c r="L24" s="76">
        <f t="shared" si="3"/>
        <v>-584</v>
      </c>
      <c r="P24" s="6">
        <v>1</v>
      </c>
    </row>
    <row r="25" spans="1:16" x14ac:dyDescent="0.3">
      <c r="A25" s="6">
        <v>1</v>
      </c>
      <c r="C25" s="60">
        <v>46247</v>
      </c>
      <c r="D25" s="61" t="s">
        <v>38</v>
      </c>
      <c r="E25" s="85"/>
      <c r="F25" s="85"/>
      <c r="G25" s="85"/>
      <c r="H25" s="85"/>
      <c r="I25" s="27">
        <f t="shared" si="2"/>
        <v>0</v>
      </c>
      <c r="J25" s="27">
        <f>'Não Apagar'!$J$3</f>
        <v>8</v>
      </c>
      <c r="K25" s="28">
        <f>IF(I26=0,-'Não Apagar'!$J$3,I26-J26)</f>
        <v>-8</v>
      </c>
      <c r="L25" s="76">
        <f t="shared" si="3"/>
        <v>-592</v>
      </c>
      <c r="P25" s="6">
        <v>1</v>
      </c>
    </row>
    <row r="26" spans="1:16" x14ac:dyDescent="0.3">
      <c r="A26" s="6">
        <v>1</v>
      </c>
      <c r="C26" s="60">
        <v>46248</v>
      </c>
      <c r="D26" s="61" t="s">
        <v>35</v>
      </c>
      <c r="E26" s="85"/>
      <c r="F26" s="85"/>
      <c r="G26" s="85"/>
      <c r="H26" s="85"/>
      <c r="I26" s="27">
        <f t="shared" si="2"/>
        <v>0</v>
      </c>
      <c r="J26" s="27">
        <f>'Não Apagar'!$J$3</f>
        <v>8</v>
      </c>
      <c r="K26" s="28">
        <f>IF(I27=0,-'Não Apagar'!$J$3,I27-J27)</f>
        <v>-8</v>
      </c>
      <c r="L26" s="76">
        <f t="shared" si="3"/>
        <v>-600</v>
      </c>
      <c r="P26" s="6">
        <v>1</v>
      </c>
    </row>
    <row r="27" spans="1:16" x14ac:dyDescent="0.3">
      <c r="A27" s="6">
        <v>1</v>
      </c>
      <c r="C27" s="64">
        <v>46249</v>
      </c>
      <c r="D27" s="65" t="s">
        <v>36</v>
      </c>
      <c r="E27" s="86"/>
      <c r="F27" s="86"/>
      <c r="G27" s="86"/>
      <c r="H27" s="86"/>
      <c r="I27" s="98"/>
      <c r="J27" s="98"/>
      <c r="K27" s="98"/>
      <c r="L27" s="98"/>
      <c r="P27" s="6">
        <v>1</v>
      </c>
    </row>
    <row r="28" spans="1:16" x14ac:dyDescent="0.3">
      <c r="A28" s="6">
        <v>1</v>
      </c>
      <c r="C28" s="64">
        <v>46250</v>
      </c>
      <c r="D28" s="65" t="s">
        <v>37</v>
      </c>
      <c r="E28" s="86"/>
      <c r="F28" s="86"/>
      <c r="G28" s="86"/>
      <c r="H28" s="86"/>
      <c r="I28" s="74"/>
      <c r="J28" s="74"/>
      <c r="K28" s="74"/>
      <c r="L28" s="74"/>
      <c r="P28" s="6">
        <v>1</v>
      </c>
    </row>
    <row r="29" spans="1:16" x14ac:dyDescent="0.3">
      <c r="A29" s="6">
        <v>1</v>
      </c>
      <c r="C29" s="60">
        <v>46251</v>
      </c>
      <c r="D29" s="61" t="s">
        <v>30</v>
      </c>
      <c r="E29" s="85"/>
      <c r="F29" s="85"/>
      <c r="G29" s="85"/>
      <c r="H29" s="85"/>
      <c r="I29" s="27">
        <f t="shared" si="2"/>
        <v>0</v>
      </c>
      <c r="J29" s="27">
        <f>'Não Apagar'!$J$3</f>
        <v>8</v>
      </c>
      <c r="K29" s="28">
        <f>IF(I30=0,-'Não Apagar'!$J$3,I30-J30)</f>
        <v>-8</v>
      </c>
      <c r="L29" s="76">
        <f>K29+L26</f>
        <v>-608</v>
      </c>
      <c r="P29" s="6">
        <v>1</v>
      </c>
    </row>
    <row r="30" spans="1:16" x14ac:dyDescent="0.3">
      <c r="A30" s="6">
        <v>1</v>
      </c>
      <c r="C30" s="60">
        <v>46252</v>
      </c>
      <c r="D30" s="61" t="s">
        <v>29</v>
      </c>
      <c r="E30" s="85"/>
      <c r="F30" s="85"/>
      <c r="G30" s="85"/>
      <c r="H30" s="85"/>
      <c r="I30" s="27">
        <f t="shared" si="2"/>
        <v>0</v>
      </c>
      <c r="J30" s="27">
        <f>'Não Apagar'!$J$3</f>
        <v>8</v>
      </c>
      <c r="K30" s="28">
        <f>IF(I31=0,-'Não Apagar'!$J$3,I31-J31)</f>
        <v>-8</v>
      </c>
      <c r="L30" s="76">
        <f t="shared" si="3"/>
        <v>-616</v>
      </c>
      <c r="P30" s="6">
        <v>1</v>
      </c>
    </row>
    <row r="31" spans="1:16" x14ac:dyDescent="0.3">
      <c r="A31" s="6">
        <v>1</v>
      </c>
      <c r="C31" s="60">
        <v>46253</v>
      </c>
      <c r="D31" s="61" t="s">
        <v>34</v>
      </c>
      <c r="E31" s="85"/>
      <c r="F31" s="85"/>
      <c r="G31" s="85"/>
      <c r="H31" s="85"/>
      <c r="I31" s="27">
        <f t="shared" si="2"/>
        <v>0</v>
      </c>
      <c r="J31" s="27">
        <f>'Não Apagar'!$J$3</f>
        <v>8</v>
      </c>
      <c r="K31" s="28">
        <f>IF(I32=0,-'Não Apagar'!$J$3,I32-J32)</f>
        <v>-8</v>
      </c>
      <c r="L31" s="76">
        <f t="shared" si="3"/>
        <v>-624</v>
      </c>
      <c r="P31" s="6">
        <v>1</v>
      </c>
    </row>
    <row r="32" spans="1:16" x14ac:dyDescent="0.3">
      <c r="A32" s="6">
        <v>1</v>
      </c>
      <c r="C32" s="60">
        <v>46254</v>
      </c>
      <c r="D32" s="61" t="s">
        <v>38</v>
      </c>
      <c r="E32" s="85"/>
      <c r="F32" s="85"/>
      <c r="G32" s="85"/>
      <c r="H32" s="85"/>
      <c r="I32" s="27">
        <f t="shared" si="2"/>
        <v>0</v>
      </c>
      <c r="J32" s="27">
        <f>'Não Apagar'!$J$3</f>
        <v>8</v>
      </c>
      <c r="K32" s="28">
        <f>IF(I33=0,-'Não Apagar'!$J$3,I33-J33)</f>
        <v>-8</v>
      </c>
      <c r="L32" s="76">
        <f t="shared" si="3"/>
        <v>-632</v>
      </c>
      <c r="P32" s="6">
        <v>1</v>
      </c>
    </row>
    <row r="33" spans="1:16" x14ac:dyDescent="0.3">
      <c r="A33" s="6">
        <v>1</v>
      </c>
      <c r="C33" s="60">
        <v>46255</v>
      </c>
      <c r="D33" s="61" t="s">
        <v>35</v>
      </c>
      <c r="E33" s="85"/>
      <c r="F33" s="85"/>
      <c r="G33" s="85"/>
      <c r="H33" s="85"/>
      <c r="I33" s="27">
        <f t="shared" si="2"/>
        <v>0</v>
      </c>
      <c r="J33" s="27">
        <f>'Não Apagar'!$J$3</f>
        <v>8</v>
      </c>
      <c r="K33" s="28">
        <f>IF(I34=0,-'Não Apagar'!$J$3,I34-J34)</f>
        <v>-8</v>
      </c>
      <c r="L33" s="76">
        <f t="shared" si="3"/>
        <v>-640</v>
      </c>
      <c r="P33" s="6">
        <v>1</v>
      </c>
    </row>
    <row r="34" spans="1:16" x14ac:dyDescent="0.3">
      <c r="A34" s="6">
        <v>1</v>
      </c>
      <c r="C34" s="64">
        <v>46256</v>
      </c>
      <c r="D34" s="65" t="s">
        <v>36</v>
      </c>
      <c r="E34" s="86"/>
      <c r="F34" s="86"/>
      <c r="G34" s="86"/>
      <c r="H34" s="86"/>
      <c r="I34" s="98"/>
      <c r="J34" s="98"/>
      <c r="K34" s="98"/>
      <c r="L34" s="98"/>
      <c r="P34" s="6">
        <v>1</v>
      </c>
    </row>
    <row r="35" spans="1:16" x14ac:dyDescent="0.3">
      <c r="A35" s="6">
        <v>1</v>
      </c>
      <c r="C35" s="64">
        <v>46257</v>
      </c>
      <c r="D35" s="65" t="s">
        <v>37</v>
      </c>
      <c r="E35" s="86"/>
      <c r="F35" s="86"/>
      <c r="G35" s="86"/>
      <c r="H35" s="86"/>
      <c r="I35" s="74"/>
      <c r="J35" s="74"/>
      <c r="K35" s="74"/>
      <c r="L35" s="74"/>
      <c r="P35" s="6">
        <v>1</v>
      </c>
    </row>
    <row r="36" spans="1:16" x14ac:dyDescent="0.3">
      <c r="A36" s="6">
        <v>1</v>
      </c>
      <c r="C36" s="60">
        <v>46258</v>
      </c>
      <c r="D36" s="61" t="s">
        <v>30</v>
      </c>
      <c r="E36" s="85"/>
      <c r="F36" s="85"/>
      <c r="G36" s="85"/>
      <c r="H36" s="85"/>
      <c r="I36" s="27">
        <f t="shared" si="2"/>
        <v>0</v>
      </c>
      <c r="J36" s="27">
        <f>'Não Apagar'!$J$3</f>
        <v>8</v>
      </c>
      <c r="K36" s="28">
        <f>IF(I37=0,-'Não Apagar'!$J$3,I37-J37)</f>
        <v>-8</v>
      </c>
      <c r="L36" s="76">
        <f>K36+L33</f>
        <v>-648</v>
      </c>
      <c r="P36" s="6">
        <v>1</v>
      </c>
    </row>
    <row r="37" spans="1:16" x14ac:dyDescent="0.3">
      <c r="A37" s="6">
        <v>1</v>
      </c>
      <c r="C37" s="60">
        <v>46259</v>
      </c>
      <c r="D37" s="61" t="s">
        <v>29</v>
      </c>
      <c r="E37" s="85"/>
      <c r="F37" s="85"/>
      <c r="G37" s="85"/>
      <c r="H37" s="85"/>
      <c r="I37" s="27">
        <f t="shared" si="2"/>
        <v>0</v>
      </c>
      <c r="J37" s="27">
        <f>'Não Apagar'!$J$3</f>
        <v>8</v>
      </c>
      <c r="K37" s="28">
        <f>IF(I38=0,-'Não Apagar'!$J$3,I38-J38)</f>
        <v>-8</v>
      </c>
      <c r="L37" s="76">
        <f t="shared" si="3"/>
        <v>-656</v>
      </c>
      <c r="P37" s="6">
        <v>1</v>
      </c>
    </row>
    <row r="38" spans="1:16" x14ac:dyDescent="0.3">
      <c r="A38" s="6">
        <v>1</v>
      </c>
      <c r="C38" s="60">
        <v>46260</v>
      </c>
      <c r="D38" s="61" t="s">
        <v>34</v>
      </c>
      <c r="E38" s="85"/>
      <c r="F38" s="85"/>
      <c r="G38" s="85"/>
      <c r="H38" s="85"/>
      <c r="I38" s="27">
        <f t="shared" si="2"/>
        <v>0</v>
      </c>
      <c r="J38" s="27">
        <f>'Não Apagar'!$J$3</f>
        <v>8</v>
      </c>
      <c r="K38" s="28">
        <f>IF(I39=0,-'Não Apagar'!$J$3,I39-J39)</f>
        <v>-8</v>
      </c>
      <c r="L38" s="76">
        <f t="shared" si="3"/>
        <v>-664</v>
      </c>
      <c r="P38" s="6">
        <v>1</v>
      </c>
    </row>
    <row r="39" spans="1:16" x14ac:dyDescent="0.3">
      <c r="A39" s="6">
        <v>1</v>
      </c>
      <c r="C39" s="60">
        <v>46261</v>
      </c>
      <c r="D39" s="61" t="s">
        <v>38</v>
      </c>
      <c r="E39" s="85"/>
      <c r="F39" s="85"/>
      <c r="G39" s="85"/>
      <c r="H39" s="85"/>
      <c r="I39" s="27">
        <f t="shared" si="2"/>
        <v>0</v>
      </c>
      <c r="J39" s="27">
        <f>'Não Apagar'!$J$3</f>
        <v>8</v>
      </c>
      <c r="K39" s="28">
        <f>IF(I40=0,-'Não Apagar'!$J$3,I40-J40)</f>
        <v>-8</v>
      </c>
      <c r="L39" s="76">
        <f t="shared" si="3"/>
        <v>-672</v>
      </c>
      <c r="P39" s="6">
        <v>1</v>
      </c>
    </row>
    <row r="40" spans="1:16" x14ac:dyDescent="0.3">
      <c r="A40" s="6">
        <v>1</v>
      </c>
      <c r="C40" s="60">
        <v>46262</v>
      </c>
      <c r="D40" s="61" t="s">
        <v>35</v>
      </c>
      <c r="E40" s="85"/>
      <c r="F40" s="85"/>
      <c r="G40" s="85"/>
      <c r="H40" s="85"/>
      <c r="I40" s="27">
        <f t="shared" si="2"/>
        <v>0</v>
      </c>
      <c r="J40" s="27">
        <f>'Não Apagar'!$J$3</f>
        <v>8</v>
      </c>
      <c r="K40" s="28">
        <f>IF(I41=0,-'Não Apagar'!$J$3,I41-J41)</f>
        <v>-8</v>
      </c>
      <c r="L40" s="76">
        <f t="shared" si="3"/>
        <v>-680</v>
      </c>
      <c r="P40" s="6">
        <v>1</v>
      </c>
    </row>
    <row r="41" spans="1:16" x14ac:dyDescent="0.3">
      <c r="A41" s="6">
        <v>1</v>
      </c>
      <c r="C41" s="64">
        <v>46263</v>
      </c>
      <c r="D41" s="65" t="s">
        <v>36</v>
      </c>
      <c r="E41" s="87"/>
      <c r="F41" s="87"/>
      <c r="G41" s="87"/>
      <c r="H41" s="87"/>
      <c r="I41" s="98"/>
      <c r="J41" s="98"/>
      <c r="K41" s="98"/>
      <c r="L41" s="98"/>
      <c r="P41" s="6">
        <v>1</v>
      </c>
    </row>
    <row r="42" spans="1:16" x14ac:dyDescent="0.3">
      <c r="A42" s="6">
        <v>1</v>
      </c>
      <c r="B42" s="68"/>
      <c r="C42" s="64">
        <v>46264</v>
      </c>
      <c r="D42" s="65" t="s">
        <v>37</v>
      </c>
      <c r="E42" s="86"/>
      <c r="F42" s="86"/>
      <c r="G42" s="86"/>
      <c r="H42" s="86"/>
      <c r="I42" s="74"/>
      <c r="J42" s="74"/>
      <c r="K42" s="74"/>
      <c r="L42" s="74"/>
      <c r="P42" s="6">
        <v>1</v>
      </c>
    </row>
    <row r="43" spans="1:16" x14ac:dyDescent="0.3">
      <c r="A43" s="6">
        <v>1</v>
      </c>
      <c r="B43" s="68"/>
      <c r="C43" s="60">
        <v>46265</v>
      </c>
      <c r="D43" s="61" t="s">
        <v>30</v>
      </c>
      <c r="E43" s="88"/>
      <c r="F43" s="88"/>
      <c r="G43" s="88"/>
      <c r="H43" s="88"/>
      <c r="I43" s="27"/>
      <c r="J43" s="27"/>
      <c r="K43" s="28"/>
      <c r="L43" s="36"/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L40</f>
        <v>-680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5vrjTUlyk2xdynd8jloLVyR/3Q3K1bqWkHXM3J3BoG+YIb2MkUyIQpKSbL1NQaKC0U3E6thUKTq31rK06Gfyag==" saltValue="Uwqt2NMZDHB3BhSPY1ZfNQ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4F4E-98B0-4BF3-97CB-B71B7022AA96}">
  <dimension ref="A1:P62"/>
  <sheetViews>
    <sheetView showGridLines="0" zoomScale="85" zoomScaleNormal="85" workbookViewId="0">
      <selection activeCell="J15" sqref="J15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2" style="2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54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53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0">
        <v>46266</v>
      </c>
      <c r="D13" s="61" t="s">
        <v>29</v>
      </c>
      <c r="E13" s="85"/>
      <c r="F13" s="85"/>
      <c r="G13" s="85"/>
      <c r="H13" s="85"/>
      <c r="I13" s="27">
        <f t="shared" ref="I13:I14" si="0">((H13-E13)-(G13-F13))*24</f>
        <v>0</v>
      </c>
      <c r="J13" s="27">
        <f>'Não Apagar'!$J$3</f>
        <v>8</v>
      </c>
      <c r="K13" s="28">
        <f>IF(I14=0,-'Não Apagar'!$J$3,I14-J14)</f>
        <v>-8</v>
      </c>
      <c r="L13" s="76">
        <f>K13+Ago.26!L46</f>
        <v>-688</v>
      </c>
      <c r="P13" s="6">
        <v>1</v>
      </c>
    </row>
    <row r="14" spans="1:16" x14ac:dyDescent="0.3">
      <c r="A14" s="6">
        <v>1</v>
      </c>
      <c r="C14" s="60">
        <v>46267</v>
      </c>
      <c r="D14" s="61" t="s">
        <v>34</v>
      </c>
      <c r="E14" s="85"/>
      <c r="F14" s="85"/>
      <c r="G14" s="85"/>
      <c r="H14" s="85"/>
      <c r="I14" s="27">
        <f t="shared" si="0"/>
        <v>0</v>
      </c>
      <c r="J14" s="27">
        <f>'Não Apagar'!$J$3</f>
        <v>8</v>
      </c>
      <c r="K14" s="28">
        <f>IF(I15=0,-'Não Apagar'!$J$3,I15-J15)</f>
        <v>-8</v>
      </c>
      <c r="L14" s="76">
        <f>K14+L13</f>
        <v>-696</v>
      </c>
      <c r="P14" s="6">
        <v>1</v>
      </c>
    </row>
    <row r="15" spans="1:16" x14ac:dyDescent="0.3">
      <c r="A15" s="6">
        <v>1</v>
      </c>
      <c r="C15" s="60">
        <v>46268</v>
      </c>
      <c r="D15" s="61" t="s">
        <v>38</v>
      </c>
      <c r="E15" s="85"/>
      <c r="F15" s="85"/>
      <c r="G15" s="85"/>
      <c r="H15" s="85"/>
      <c r="I15" s="27">
        <f t="shared" ref="I15:I42" si="1">((H15-E15)-(G15-F15))*24</f>
        <v>0</v>
      </c>
      <c r="J15" s="27">
        <f>'Não Apagar'!$J$3</f>
        <v>8</v>
      </c>
      <c r="K15" s="28">
        <f>IF(I16=0,-'Não Apagar'!$J$3,I16-J16)</f>
        <v>-8</v>
      </c>
      <c r="L15" s="76">
        <f t="shared" ref="L15:L42" si="2">K15+L14</f>
        <v>-704</v>
      </c>
      <c r="P15" s="6">
        <v>1</v>
      </c>
    </row>
    <row r="16" spans="1:16" x14ac:dyDescent="0.3">
      <c r="A16" s="6">
        <v>1</v>
      </c>
      <c r="C16" s="60">
        <v>46269</v>
      </c>
      <c r="D16" s="61" t="s">
        <v>35</v>
      </c>
      <c r="E16" s="85"/>
      <c r="F16" s="85"/>
      <c r="G16" s="85"/>
      <c r="H16" s="85"/>
      <c r="I16" s="27">
        <f t="shared" si="1"/>
        <v>0</v>
      </c>
      <c r="J16" s="27">
        <f>'Não Apagar'!$J$3</f>
        <v>8</v>
      </c>
      <c r="K16" s="28">
        <f>IF(I17=0,-'Não Apagar'!$J$3,I17-J17)</f>
        <v>-8</v>
      </c>
      <c r="L16" s="76">
        <f t="shared" si="2"/>
        <v>-712</v>
      </c>
      <c r="P16" s="6">
        <v>1</v>
      </c>
    </row>
    <row r="17" spans="1:16" x14ac:dyDescent="0.3">
      <c r="A17" s="6">
        <v>1</v>
      </c>
      <c r="C17" s="64">
        <v>46270</v>
      </c>
      <c r="D17" s="65" t="s">
        <v>36</v>
      </c>
      <c r="E17" s="86"/>
      <c r="F17" s="86"/>
      <c r="G17" s="86"/>
      <c r="H17" s="86"/>
      <c r="I17" s="86"/>
      <c r="J17" s="86"/>
      <c r="K17" s="86"/>
      <c r="L17" s="86"/>
      <c r="P17" s="6">
        <v>1</v>
      </c>
    </row>
    <row r="18" spans="1:16" x14ac:dyDescent="0.3">
      <c r="A18" s="6">
        <v>1</v>
      </c>
      <c r="C18" s="64">
        <v>46271</v>
      </c>
      <c r="D18" s="65" t="s">
        <v>37</v>
      </c>
      <c r="E18" s="86"/>
      <c r="F18" s="86"/>
      <c r="G18" s="86"/>
      <c r="H18" s="86"/>
      <c r="I18" s="86"/>
      <c r="J18" s="86"/>
      <c r="K18" s="86"/>
      <c r="L18" s="86"/>
      <c r="P18" s="6">
        <v>1</v>
      </c>
    </row>
    <row r="19" spans="1:16" x14ac:dyDescent="0.3">
      <c r="A19" s="6">
        <v>1</v>
      </c>
      <c r="C19" s="60">
        <v>46272</v>
      </c>
      <c r="D19" s="61" t="s">
        <v>30</v>
      </c>
      <c r="E19" s="85"/>
      <c r="F19" s="85"/>
      <c r="G19" s="85"/>
      <c r="H19" s="85"/>
      <c r="I19" s="27">
        <f t="shared" si="1"/>
        <v>0</v>
      </c>
      <c r="J19" s="27">
        <f>'Não Apagar'!$J$3</f>
        <v>8</v>
      </c>
      <c r="K19" s="28">
        <f>IF(I20=0,-'Não Apagar'!$J$3,I20-J20)</f>
        <v>-8</v>
      </c>
      <c r="L19" s="76">
        <f>K19+L16</f>
        <v>-720</v>
      </c>
      <c r="P19" s="6">
        <v>1</v>
      </c>
    </row>
    <row r="20" spans="1:16" x14ac:dyDescent="0.3">
      <c r="A20" s="6">
        <v>1</v>
      </c>
      <c r="C20" s="60">
        <v>46273</v>
      </c>
      <c r="D20" s="61" t="s">
        <v>29</v>
      </c>
      <c r="E20" s="85"/>
      <c r="F20" s="85"/>
      <c r="G20" s="85"/>
      <c r="H20" s="85"/>
      <c r="I20" s="27">
        <f t="shared" si="1"/>
        <v>0</v>
      </c>
      <c r="J20" s="27">
        <f>'Não Apagar'!$J$3</f>
        <v>8</v>
      </c>
      <c r="K20" s="28">
        <f>IF(I21=0,-'Não Apagar'!$J$3,I21-J21)</f>
        <v>-8</v>
      </c>
      <c r="L20" s="76">
        <f t="shared" si="2"/>
        <v>-728</v>
      </c>
      <c r="P20" s="6">
        <v>1</v>
      </c>
    </row>
    <row r="21" spans="1:16" x14ac:dyDescent="0.3">
      <c r="A21" s="6">
        <v>1</v>
      </c>
      <c r="C21" s="60">
        <v>46274</v>
      </c>
      <c r="D21" s="61" t="s">
        <v>34</v>
      </c>
      <c r="E21" s="85"/>
      <c r="F21" s="85"/>
      <c r="G21" s="85"/>
      <c r="H21" s="85"/>
      <c r="I21" s="27">
        <f t="shared" si="1"/>
        <v>0</v>
      </c>
      <c r="J21" s="27">
        <f>'Não Apagar'!$J$3</f>
        <v>8</v>
      </c>
      <c r="K21" s="28">
        <f>IF(I22=0,-'Não Apagar'!$J$3,I22-J22)</f>
        <v>-8</v>
      </c>
      <c r="L21" s="76">
        <f t="shared" si="2"/>
        <v>-736</v>
      </c>
      <c r="P21" s="6">
        <v>1</v>
      </c>
    </row>
    <row r="22" spans="1:16" x14ac:dyDescent="0.3">
      <c r="A22" s="6">
        <v>1</v>
      </c>
      <c r="C22" s="60">
        <v>46275</v>
      </c>
      <c r="D22" s="61" t="s">
        <v>38</v>
      </c>
      <c r="E22" s="85"/>
      <c r="F22" s="85"/>
      <c r="G22" s="85"/>
      <c r="H22" s="85"/>
      <c r="I22" s="27">
        <f t="shared" si="1"/>
        <v>0</v>
      </c>
      <c r="J22" s="27">
        <f>'Não Apagar'!$J$3</f>
        <v>8</v>
      </c>
      <c r="K22" s="28">
        <f>IF(I23=0,-'Não Apagar'!$J$3,I23-J23)</f>
        <v>-8</v>
      </c>
      <c r="L22" s="76">
        <f t="shared" si="2"/>
        <v>-744</v>
      </c>
      <c r="P22" s="6">
        <v>1</v>
      </c>
    </row>
    <row r="23" spans="1:16" x14ac:dyDescent="0.3">
      <c r="A23" s="6">
        <v>1</v>
      </c>
      <c r="C23" s="60">
        <v>46276</v>
      </c>
      <c r="D23" s="61" t="s">
        <v>35</v>
      </c>
      <c r="E23" s="85"/>
      <c r="F23" s="85"/>
      <c r="G23" s="85"/>
      <c r="H23" s="85"/>
      <c r="I23" s="27">
        <f t="shared" si="1"/>
        <v>0</v>
      </c>
      <c r="J23" s="27">
        <f>'Não Apagar'!$J$3</f>
        <v>8</v>
      </c>
      <c r="K23" s="28">
        <f>IF(I24=0,-'Não Apagar'!$J$3,I24-J24)</f>
        <v>-8</v>
      </c>
      <c r="L23" s="76">
        <f t="shared" si="2"/>
        <v>-752</v>
      </c>
      <c r="P23" s="6">
        <v>1</v>
      </c>
    </row>
    <row r="24" spans="1:16" x14ac:dyDescent="0.3">
      <c r="A24" s="6">
        <v>1</v>
      </c>
      <c r="C24" s="64">
        <v>46277</v>
      </c>
      <c r="D24" s="65" t="s">
        <v>36</v>
      </c>
      <c r="E24" s="86"/>
      <c r="F24" s="86"/>
      <c r="G24" s="86"/>
      <c r="H24" s="86"/>
      <c r="I24" s="86"/>
      <c r="J24" s="86"/>
      <c r="K24" s="86"/>
      <c r="L24" s="86"/>
      <c r="P24" s="6">
        <v>1</v>
      </c>
    </row>
    <row r="25" spans="1:16" x14ac:dyDescent="0.3">
      <c r="A25" s="6">
        <v>1</v>
      </c>
      <c r="C25" s="64">
        <v>46278</v>
      </c>
      <c r="D25" s="65" t="s">
        <v>37</v>
      </c>
      <c r="E25" s="86"/>
      <c r="F25" s="86"/>
      <c r="G25" s="86"/>
      <c r="H25" s="86"/>
      <c r="I25" s="86"/>
      <c r="J25" s="86"/>
      <c r="K25" s="86"/>
      <c r="L25" s="86"/>
      <c r="P25" s="6">
        <v>1</v>
      </c>
    </row>
    <row r="26" spans="1:16" x14ac:dyDescent="0.3">
      <c r="A26" s="6">
        <v>1</v>
      </c>
      <c r="C26" s="60">
        <v>46279</v>
      </c>
      <c r="D26" s="61" t="s">
        <v>30</v>
      </c>
      <c r="E26" s="85"/>
      <c r="F26" s="85"/>
      <c r="G26" s="85"/>
      <c r="H26" s="85"/>
      <c r="I26" s="27">
        <f t="shared" si="1"/>
        <v>0</v>
      </c>
      <c r="J26" s="27">
        <f>'Não Apagar'!$J$3</f>
        <v>8</v>
      </c>
      <c r="K26" s="28">
        <f>IF(I27=0,-'Não Apagar'!$J$3,I27-J27)</f>
        <v>-8</v>
      </c>
      <c r="L26" s="76">
        <f>K26+L23</f>
        <v>-760</v>
      </c>
      <c r="P26" s="6">
        <v>1</v>
      </c>
    </row>
    <row r="27" spans="1:16" x14ac:dyDescent="0.3">
      <c r="A27" s="6">
        <v>1</v>
      </c>
      <c r="C27" s="60">
        <v>46280</v>
      </c>
      <c r="D27" s="61" t="s">
        <v>29</v>
      </c>
      <c r="E27" s="85"/>
      <c r="F27" s="85"/>
      <c r="G27" s="85"/>
      <c r="H27" s="85"/>
      <c r="I27" s="27">
        <f t="shared" si="1"/>
        <v>0</v>
      </c>
      <c r="J27" s="27">
        <f>'Não Apagar'!$J$3</f>
        <v>8</v>
      </c>
      <c r="K27" s="28">
        <f>IF(I28=0,-'Não Apagar'!$J$3,I28-J28)</f>
        <v>-8</v>
      </c>
      <c r="L27" s="76">
        <f t="shared" si="2"/>
        <v>-768</v>
      </c>
      <c r="P27" s="6">
        <v>1</v>
      </c>
    </row>
    <row r="28" spans="1:16" x14ac:dyDescent="0.3">
      <c r="A28" s="6">
        <v>1</v>
      </c>
      <c r="C28" s="60">
        <v>46281</v>
      </c>
      <c r="D28" s="61" t="s">
        <v>34</v>
      </c>
      <c r="E28" s="85"/>
      <c r="F28" s="85"/>
      <c r="G28" s="85"/>
      <c r="H28" s="85"/>
      <c r="I28" s="27">
        <f t="shared" si="1"/>
        <v>0</v>
      </c>
      <c r="J28" s="27">
        <f>'Não Apagar'!$J$3</f>
        <v>8</v>
      </c>
      <c r="K28" s="28">
        <f>IF(I29=0,-'Não Apagar'!$J$3,I29-J29)</f>
        <v>-8</v>
      </c>
      <c r="L28" s="76">
        <f t="shared" si="2"/>
        <v>-776</v>
      </c>
      <c r="P28" s="6">
        <v>1</v>
      </c>
    </row>
    <row r="29" spans="1:16" x14ac:dyDescent="0.3">
      <c r="A29" s="6">
        <v>1</v>
      </c>
      <c r="C29" s="60">
        <v>46282</v>
      </c>
      <c r="D29" s="61" t="s">
        <v>38</v>
      </c>
      <c r="E29" s="85"/>
      <c r="F29" s="85"/>
      <c r="G29" s="85"/>
      <c r="H29" s="85"/>
      <c r="I29" s="27">
        <f t="shared" si="1"/>
        <v>0</v>
      </c>
      <c r="J29" s="27">
        <f>'Não Apagar'!$J$3</f>
        <v>8</v>
      </c>
      <c r="K29" s="28">
        <f>IF(I30=0,-'Não Apagar'!$J$3,I30-J30)</f>
        <v>-8</v>
      </c>
      <c r="L29" s="76">
        <f t="shared" si="2"/>
        <v>-784</v>
      </c>
      <c r="P29" s="6">
        <v>1</v>
      </c>
    </row>
    <row r="30" spans="1:16" x14ac:dyDescent="0.3">
      <c r="A30" s="6">
        <v>1</v>
      </c>
      <c r="C30" s="60">
        <v>46283</v>
      </c>
      <c r="D30" s="61" t="s">
        <v>35</v>
      </c>
      <c r="E30" s="85"/>
      <c r="F30" s="85"/>
      <c r="G30" s="85"/>
      <c r="H30" s="85"/>
      <c r="I30" s="27">
        <f t="shared" si="1"/>
        <v>0</v>
      </c>
      <c r="J30" s="27">
        <f>'Não Apagar'!$J$3</f>
        <v>8</v>
      </c>
      <c r="K30" s="28">
        <f>IF(I31=0,-'Não Apagar'!$J$3,I31-J31)</f>
        <v>-8</v>
      </c>
      <c r="L30" s="76">
        <f t="shared" si="2"/>
        <v>-792</v>
      </c>
      <c r="P30" s="6">
        <v>1</v>
      </c>
    </row>
    <row r="31" spans="1:16" x14ac:dyDescent="0.3">
      <c r="A31" s="6">
        <v>1</v>
      </c>
      <c r="C31" s="64">
        <v>46284</v>
      </c>
      <c r="D31" s="65" t="s">
        <v>36</v>
      </c>
      <c r="E31" s="86"/>
      <c r="F31" s="86"/>
      <c r="G31" s="86"/>
      <c r="H31" s="86"/>
      <c r="I31" s="86"/>
      <c r="J31" s="86"/>
      <c r="K31" s="86"/>
      <c r="L31" s="86"/>
      <c r="P31" s="6">
        <v>1</v>
      </c>
    </row>
    <row r="32" spans="1:16" x14ac:dyDescent="0.3">
      <c r="A32" s="6">
        <v>1</v>
      </c>
      <c r="C32" s="64">
        <v>46285</v>
      </c>
      <c r="D32" s="65" t="s">
        <v>37</v>
      </c>
      <c r="E32" s="86"/>
      <c r="F32" s="86"/>
      <c r="G32" s="86"/>
      <c r="H32" s="86"/>
      <c r="I32" s="86"/>
      <c r="J32" s="86"/>
      <c r="K32" s="86"/>
      <c r="L32" s="86"/>
      <c r="P32" s="6">
        <v>1</v>
      </c>
    </row>
    <row r="33" spans="1:16" x14ac:dyDescent="0.3">
      <c r="A33" s="6">
        <v>1</v>
      </c>
      <c r="C33" s="60">
        <v>46286</v>
      </c>
      <c r="D33" s="61" t="s">
        <v>30</v>
      </c>
      <c r="E33" s="85"/>
      <c r="F33" s="85"/>
      <c r="G33" s="85"/>
      <c r="H33" s="85"/>
      <c r="I33" s="27">
        <f t="shared" si="1"/>
        <v>0</v>
      </c>
      <c r="J33" s="27">
        <f>'Não Apagar'!$J$3</f>
        <v>8</v>
      </c>
      <c r="K33" s="28">
        <f>IF(I34=0,-'Não Apagar'!$J$3,I34-J34)</f>
        <v>-8</v>
      </c>
      <c r="L33" s="76">
        <f>K33+L30</f>
        <v>-800</v>
      </c>
      <c r="P33" s="6">
        <v>1</v>
      </c>
    </row>
    <row r="34" spans="1:16" x14ac:dyDescent="0.3">
      <c r="A34" s="6">
        <v>1</v>
      </c>
      <c r="C34" s="60">
        <v>46287</v>
      </c>
      <c r="D34" s="61" t="s">
        <v>29</v>
      </c>
      <c r="E34" s="85"/>
      <c r="F34" s="85"/>
      <c r="G34" s="85"/>
      <c r="H34" s="85"/>
      <c r="I34" s="27">
        <f t="shared" si="1"/>
        <v>0</v>
      </c>
      <c r="J34" s="27">
        <f>'Não Apagar'!$J$3</f>
        <v>8</v>
      </c>
      <c r="K34" s="28">
        <f>IF(I35=0,-'Não Apagar'!$J$3,I35-J35)</f>
        <v>-8</v>
      </c>
      <c r="L34" s="76">
        <f t="shared" si="2"/>
        <v>-808</v>
      </c>
      <c r="P34" s="6">
        <v>1</v>
      </c>
    </row>
    <row r="35" spans="1:16" x14ac:dyDescent="0.3">
      <c r="A35" s="6">
        <v>1</v>
      </c>
      <c r="C35" s="60">
        <v>46288</v>
      </c>
      <c r="D35" s="61" t="s">
        <v>34</v>
      </c>
      <c r="E35" s="85"/>
      <c r="F35" s="85"/>
      <c r="G35" s="85"/>
      <c r="H35" s="85"/>
      <c r="I35" s="27">
        <f t="shared" si="1"/>
        <v>0</v>
      </c>
      <c r="J35" s="27">
        <f>'Não Apagar'!$J$3</f>
        <v>8</v>
      </c>
      <c r="K35" s="28">
        <f>IF(I36=0,-'Não Apagar'!$J$3,I36-J36)</f>
        <v>-8</v>
      </c>
      <c r="L35" s="76">
        <f t="shared" si="2"/>
        <v>-816</v>
      </c>
      <c r="P35" s="6">
        <v>1</v>
      </c>
    </row>
    <row r="36" spans="1:16" x14ac:dyDescent="0.3">
      <c r="A36" s="6">
        <v>1</v>
      </c>
      <c r="C36" s="60">
        <v>46289</v>
      </c>
      <c r="D36" s="61" t="s">
        <v>38</v>
      </c>
      <c r="E36" s="85"/>
      <c r="F36" s="85"/>
      <c r="G36" s="85"/>
      <c r="H36" s="85"/>
      <c r="I36" s="27">
        <f t="shared" si="1"/>
        <v>0</v>
      </c>
      <c r="J36" s="27">
        <f>'Não Apagar'!$J$3</f>
        <v>8</v>
      </c>
      <c r="K36" s="28">
        <f>IF(I37=0,-'Não Apagar'!$J$3,I37-J37)</f>
        <v>-8</v>
      </c>
      <c r="L36" s="76">
        <f t="shared" si="2"/>
        <v>-824</v>
      </c>
      <c r="P36" s="6">
        <v>1</v>
      </c>
    </row>
    <row r="37" spans="1:16" x14ac:dyDescent="0.3">
      <c r="A37" s="6">
        <v>1</v>
      </c>
      <c r="C37" s="60">
        <v>46290</v>
      </c>
      <c r="D37" s="61" t="s">
        <v>35</v>
      </c>
      <c r="E37" s="85"/>
      <c r="F37" s="85"/>
      <c r="G37" s="85"/>
      <c r="H37" s="85"/>
      <c r="I37" s="27">
        <f t="shared" si="1"/>
        <v>0</v>
      </c>
      <c r="J37" s="27">
        <f>'Não Apagar'!$J$3</f>
        <v>8</v>
      </c>
      <c r="K37" s="28">
        <f>IF(I38=0,-'Não Apagar'!$J$3,I38-J38)</f>
        <v>-8</v>
      </c>
      <c r="L37" s="76">
        <f t="shared" si="2"/>
        <v>-832</v>
      </c>
      <c r="P37" s="6">
        <v>1</v>
      </c>
    </row>
    <row r="38" spans="1:16" x14ac:dyDescent="0.3">
      <c r="A38" s="6">
        <v>1</v>
      </c>
      <c r="C38" s="64">
        <v>46291</v>
      </c>
      <c r="D38" s="65" t="s">
        <v>36</v>
      </c>
      <c r="E38" s="86"/>
      <c r="F38" s="86"/>
      <c r="G38" s="86"/>
      <c r="H38" s="86"/>
      <c r="I38" s="86"/>
      <c r="J38" s="86"/>
      <c r="K38" s="86"/>
      <c r="L38" s="86"/>
      <c r="P38" s="6">
        <v>1</v>
      </c>
    </row>
    <row r="39" spans="1:16" x14ac:dyDescent="0.3">
      <c r="A39" s="6">
        <v>1</v>
      </c>
      <c r="C39" s="64">
        <v>46292</v>
      </c>
      <c r="D39" s="65" t="s">
        <v>37</v>
      </c>
      <c r="E39" s="86"/>
      <c r="F39" s="86"/>
      <c r="G39" s="86"/>
      <c r="H39" s="86"/>
      <c r="I39" s="86"/>
      <c r="J39" s="86"/>
      <c r="K39" s="86"/>
      <c r="L39" s="86"/>
      <c r="P39" s="6">
        <v>1</v>
      </c>
    </row>
    <row r="40" spans="1:16" x14ac:dyDescent="0.3">
      <c r="A40" s="6">
        <v>1</v>
      </c>
      <c r="C40" s="60">
        <v>46293</v>
      </c>
      <c r="D40" s="61" t="s">
        <v>30</v>
      </c>
      <c r="E40" s="85"/>
      <c r="F40" s="85"/>
      <c r="G40" s="85"/>
      <c r="H40" s="85"/>
      <c r="I40" s="27">
        <f t="shared" si="1"/>
        <v>0</v>
      </c>
      <c r="J40" s="27">
        <f>'Não Apagar'!$J$3</f>
        <v>8</v>
      </c>
      <c r="K40" s="28">
        <f>IF(I41=0,-'Não Apagar'!$J$3,I41-J41)</f>
        <v>-8</v>
      </c>
      <c r="L40" s="76">
        <f>K40+L37</f>
        <v>-840</v>
      </c>
      <c r="P40" s="6">
        <v>1</v>
      </c>
    </row>
    <row r="41" spans="1:16" x14ac:dyDescent="0.3">
      <c r="A41" s="6">
        <v>1</v>
      </c>
      <c r="C41" s="60">
        <v>46294</v>
      </c>
      <c r="D41" s="61" t="s">
        <v>29</v>
      </c>
      <c r="E41" s="85"/>
      <c r="F41" s="85"/>
      <c r="G41" s="85"/>
      <c r="H41" s="85"/>
      <c r="I41" s="27">
        <f t="shared" si="1"/>
        <v>0</v>
      </c>
      <c r="J41" s="27">
        <f>'Não Apagar'!$J$3</f>
        <v>8</v>
      </c>
      <c r="K41" s="28">
        <f>IF(I42=0,-'Não Apagar'!$J$3,I42-J42)</f>
        <v>-8</v>
      </c>
      <c r="L41" s="76">
        <f t="shared" si="2"/>
        <v>-848</v>
      </c>
      <c r="P41" s="6">
        <v>1</v>
      </c>
    </row>
    <row r="42" spans="1:16" x14ac:dyDescent="0.3">
      <c r="A42" s="6">
        <v>1</v>
      </c>
      <c r="B42" s="68"/>
      <c r="C42" s="60">
        <v>46295</v>
      </c>
      <c r="D42" s="61" t="s">
        <v>34</v>
      </c>
      <c r="E42" s="85"/>
      <c r="F42" s="85"/>
      <c r="G42" s="85"/>
      <c r="H42" s="85"/>
      <c r="I42" s="27">
        <f t="shared" si="1"/>
        <v>0</v>
      </c>
      <c r="J42" s="27">
        <f>'Não Apagar'!$J$3</f>
        <v>8</v>
      </c>
      <c r="K42" s="28">
        <f>IF(I43=0,-'Não Apagar'!$J$3,I43-J43)</f>
        <v>-8</v>
      </c>
      <c r="L42" s="76">
        <f t="shared" si="2"/>
        <v>-856</v>
      </c>
      <c r="P42" s="6">
        <v>1</v>
      </c>
    </row>
    <row r="43" spans="1:16" x14ac:dyDescent="0.3">
      <c r="A43" s="6">
        <v>1</v>
      </c>
      <c r="B43" s="68"/>
      <c r="C43" s="60"/>
      <c r="D43" s="61"/>
      <c r="E43" s="75"/>
      <c r="F43" s="75"/>
      <c r="G43" s="75"/>
      <c r="H43" s="75"/>
      <c r="I43" s="27"/>
      <c r="J43" s="27"/>
      <c r="K43" s="28"/>
      <c r="L43" s="36"/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L42</f>
        <v>-856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RSAZn/Xf27NomyJ8txL1W4UYg2Jftejzv2Ojux1GTon1fwl/+mFfWB7HWurHlYnZf5g2OHGfMLgsIo6wa32KYQ==" saltValue="HhDk1gRvn5sFZ6nswrlOig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C7C5-0E73-4D5F-BFB2-A846DDE76E0E}">
  <dimension ref="A1:P62"/>
  <sheetViews>
    <sheetView showGridLines="0" zoomScale="85" zoomScaleNormal="85" workbookViewId="0">
      <selection activeCell="D5" sqref="D5:G5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1" customWidth="1"/>
    <col min="12" max="12" width="34.44140625" style="2" bestFit="1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72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3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3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52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51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0">
        <v>46296</v>
      </c>
      <c r="D13" s="61" t="s">
        <v>38</v>
      </c>
      <c r="E13" s="85"/>
      <c r="F13" s="85"/>
      <c r="G13" s="85"/>
      <c r="H13" s="85"/>
      <c r="I13" s="26">
        <f t="shared" ref="I13:I20" si="0">((H13-E13)-(G13-F13))*24</f>
        <v>0</v>
      </c>
      <c r="J13" s="27">
        <f>'Não Apagar'!$J$3</f>
        <v>8</v>
      </c>
      <c r="K13" s="79">
        <f>IF(I13=0,-'Não Apagar'!$J$3,I13-J13)</f>
        <v>-8</v>
      </c>
      <c r="L13" s="76">
        <f>K13+Set.26!L46</f>
        <v>-864</v>
      </c>
      <c r="P13" s="6">
        <v>1</v>
      </c>
    </row>
    <row r="14" spans="1:16" x14ac:dyDescent="0.3">
      <c r="A14" s="6">
        <v>1</v>
      </c>
      <c r="C14" s="60">
        <v>46297</v>
      </c>
      <c r="D14" s="61" t="s">
        <v>35</v>
      </c>
      <c r="E14" s="85"/>
      <c r="F14" s="85"/>
      <c r="G14" s="85"/>
      <c r="H14" s="85"/>
      <c r="I14" s="26">
        <f t="shared" si="0"/>
        <v>0</v>
      </c>
      <c r="J14" s="27">
        <f>'Não Apagar'!$J$3</f>
        <v>8</v>
      </c>
      <c r="K14" s="79">
        <f>IF(I14=0,-'Não Apagar'!$J$3,I14-J14)</f>
        <v>-8</v>
      </c>
      <c r="L14" s="80">
        <f>K14+L13</f>
        <v>-872</v>
      </c>
      <c r="P14" s="6">
        <v>1</v>
      </c>
    </row>
    <row r="15" spans="1:16" x14ac:dyDescent="0.3">
      <c r="A15" s="6">
        <v>1</v>
      </c>
      <c r="C15" s="64">
        <v>46298</v>
      </c>
      <c r="D15" s="65" t="s">
        <v>36</v>
      </c>
      <c r="E15" s="86"/>
      <c r="F15" s="86"/>
      <c r="G15" s="86"/>
      <c r="H15" s="86"/>
      <c r="I15" s="23"/>
      <c r="J15" s="23"/>
      <c r="K15" s="81"/>
      <c r="L15" s="81"/>
      <c r="P15" s="6">
        <v>1</v>
      </c>
    </row>
    <row r="16" spans="1:16" x14ac:dyDescent="0.3">
      <c r="A16" s="6">
        <v>1</v>
      </c>
      <c r="C16" s="64">
        <v>46299</v>
      </c>
      <c r="D16" s="65" t="s">
        <v>37</v>
      </c>
      <c r="E16" s="86"/>
      <c r="F16" s="86"/>
      <c r="G16" s="86"/>
      <c r="H16" s="86"/>
      <c r="I16" s="23"/>
      <c r="J16" s="23"/>
      <c r="K16" s="81"/>
      <c r="L16" s="81"/>
      <c r="P16" s="6">
        <v>1</v>
      </c>
    </row>
    <row r="17" spans="1:16" x14ac:dyDescent="0.3">
      <c r="A17" s="6">
        <v>1</v>
      </c>
      <c r="C17" s="60">
        <v>46300</v>
      </c>
      <c r="D17" s="61" t="s">
        <v>30</v>
      </c>
      <c r="E17" s="85"/>
      <c r="F17" s="85"/>
      <c r="G17" s="85"/>
      <c r="H17" s="85"/>
      <c r="I17" s="26">
        <f t="shared" si="0"/>
        <v>0</v>
      </c>
      <c r="J17" s="27">
        <f>'Não Apagar'!$J$3</f>
        <v>8</v>
      </c>
      <c r="K17" s="79">
        <f>IF(I17=0,-'Não Apagar'!$J$3,I17-J17)</f>
        <v>-8</v>
      </c>
      <c r="L17" s="80">
        <f>K17+L14</f>
        <v>-880</v>
      </c>
      <c r="P17" s="6">
        <v>1</v>
      </c>
    </row>
    <row r="18" spans="1:16" x14ac:dyDescent="0.3">
      <c r="A18" s="6">
        <v>1</v>
      </c>
      <c r="C18" s="60">
        <v>46301</v>
      </c>
      <c r="D18" s="61" t="s">
        <v>29</v>
      </c>
      <c r="E18" s="85"/>
      <c r="F18" s="85"/>
      <c r="G18" s="85"/>
      <c r="H18" s="85"/>
      <c r="I18" s="26">
        <f t="shared" si="0"/>
        <v>0</v>
      </c>
      <c r="J18" s="27">
        <f>'Não Apagar'!$J$3</f>
        <v>8</v>
      </c>
      <c r="K18" s="79">
        <f>IF(I18=0,-'Não Apagar'!$J$3,I18-J18)</f>
        <v>-8</v>
      </c>
      <c r="L18" s="80">
        <f>K18+L17</f>
        <v>-888</v>
      </c>
      <c r="P18" s="6">
        <v>1</v>
      </c>
    </row>
    <row r="19" spans="1:16" x14ac:dyDescent="0.3">
      <c r="A19" s="6">
        <v>1</v>
      </c>
      <c r="C19" s="60">
        <v>46302</v>
      </c>
      <c r="D19" s="61" t="s">
        <v>34</v>
      </c>
      <c r="E19" s="85"/>
      <c r="F19" s="85"/>
      <c r="G19" s="85"/>
      <c r="H19" s="85"/>
      <c r="I19" s="26">
        <f t="shared" si="0"/>
        <v>0</v>
      </c>
      <c r="J19" s="27">
        <f>'Não Apagar'!$J$3</f>
        <v>8</v>
      </c>
      <c r="K19" s="79">
        <f>IF(I19=0,-'Não Apagar'!$J$3,I19-J19)</f>
        <v>-8</v>
      </c>
      <c r="L19" s="80">
        <f t="shared" ref="L19:L42" si="1">K19+L18</f>
        <v>-896</v>
      </c>
      <c r="P19" s="6">
        <v>1</v>
      </c>
    </row>
    <row r="20" spans="1:16" x14ac:dyDescent="0.3">
      <c r="A20" s="6">
        <v>1</v>
      </c>
      <c r="C20" s="60">
        <v>46303</v>
      </c>
      <c r="D20" s="61" t="s">
        <v>38</v>
      </c>
      <c r="E20" s="85"/>
      <c r="F20" s="85"/>
      <c r="G20" s="85"/>
      <c r="H20" s="85"/>
      <c r="I20" s="26">
        <f t="shared" si="0"/>
        <v>0</v>
      </c>
      <c r="J20" s="27">
        <f>'Não Apagar'!$J$3</f>
        <v>8</v>
      </c>
      <c r="K20" s="79">
        <f>IF(I20=0,-'Não Apagar'!$J$3,I20-J20)</f>
        <v>-8</v>
      </c>
      <c r="L20" s="80">
        <f t="shared" si="1"/>
        <v>-904</v>
      </c>
      <c r="P20" s="6">
        <v>1</v>
      </c>
    </row>
    <row r="21" spans="1:16" x14ac:dyDescent="0.3">
      <c r="A21" s="6">
        <v>1</v>
      </c>
      <c r="C21" s="60">
        <v>46304</v>
      </c>
      <c r="D21" s="61" t="s">
        <v>35</v>
      </c>
      <c r="E21" s="85"/>
      <c r="F21" s="85"/>
      <c r="G21" s="85"/>
      <c r="H21" s="85"/>
      <c r="I21" s="26">
        <f>((H21-E21)-(G21-F21))*24</f>
        <v>0</v>
      </c>
      <c r="J21" s="27">
        <f>'Não Apagar'!$J$3</f>
        <v>8</v>
      </c>
      <c r="K21" s="79">
        <f>IF(I21=0,-'Não Apagar'!$J$3,I21-J21)</f>
        <v>-8</v>
      </c>
      <c r="L21" s="80">
        <f t="shared" si="1"/>
        <v>-912</v>
      </c>
      <c r="P21" s="6">
        <v>1</v>
      </c>
    </row>
    <row r="22" spans="1:16" x14ac:dyDescent="0.3">
      <c r="A22" s="6">
        <v>1</v>
      </c>
      <c r="C22" s="64">
        <v>46305</v>
      </c>
      <c r="D22" s="65" t="s">
        <v>36</v>
      </c>
      <c r="E22" s="86"/>
      <c r="F22" s="86"/>
      <c r="G22" s="86"/>
      <c r="H22" s="86"/>
      <c r="I22" s="23"/>
      <c r="J22" s="23"/>
      <c r="K22" s="81"/>
      <c r="L22" s="81"/>
      <c r="P22" s="6">
        <v>1</v>
      </c>
    </row>
    <row r="23" spans="1:16" x14ac:dyDescent="0.3">
      <c r="A23" s="6">
        <v>1</v>
      </c>
      <c r="C23" s="64">
        <v>46306</v>
      </c>
      <c r="D23" s="65" t="s">
        <v>37</v>
      </c>
      <c r="E23" s="86"/>
      <c r="F23" s="86"/>
      <c r="G23" s="86"/>
      <c r="H23" s="86"/>
      <c r="I23" s="23"/>
      <c r="J23" s="23"/>
      <c r="K23" s="81"/>
      <c r="L23" s="81"/>
      <c r="P23" s="6">
        <v>1</v>
      </c>
    </row>
    <row r="24" spans="1:16" x14ac:dyDescent="0.3">
      <c r="A24" s="6">
        <v>1</v>
      </c>
      <c r="C24" s="60">
        <v>46307</v>
      </c>
      <c r="D24" s="61" t="s">
        <v>30</v>
      </c>
      <c r="E24" s="85"/>
      <c r="F24" s="85"/>
      <c r="G24" s="85"/>
      <c r="H24" s="85"/>
      <c r="I24" s="26">
        <f>((H24-E24)-(G24-F24))*24</f>
        <v>0</v>
      </c>
      <c r="J24" s="27">
        <f>'Não Apagar'!$J$3</f>
        <v>8</v>
      </c>
      <c r="K24" s="79">
        <f>IF(I24=0,-'Não Apagar'!$J$3,I24-J24)</f>
        <v>-8</v>
      </c>
      <c r="L24" s="80">
        <f>K24+L21</f>
        <v>-920</v>
      </c>
      <c r="P24" s="6">
        <v>1</v>
      </c>
    </row>
    <row r="25" spans="1:16" x14ac:dyDescent="0.3">
      <c r="A25" s="6">
        <v>1</v>
      </c>
      <c r="C25" s="60">
        <v>46308</v>
      </c>
      <c r="D25" s="61" t="s">
        <v>29</v>
      </c>
      <c r="E25" s="85"/>
      <c r="F25" s="85"/>
      <c r="G25" s="85"/>
      <c r="H25" s="85"/>
      <c r="I25" s="26">
        <f>((H25-E25)-(G25-F25))*24</f>
        <v>0</v>
      </c>
      <c r="J25" s="27">
        <f>'Não Apagar'!$J$3</f>
        <v>8</v>
      </c>
      <c r="K25" s="79">
        <f>IF(I25=0,-'Não Apagar'!$J$3,I25-J25)</f>
        <v>-8</v>
      </c>
      <c r="L25" s="80">
        <f t="shared" si="1"/>
        <v>-928</v>
      </c>
      <c r="P25" s="6">
        <v>1</v>
      </c>
    </row>
    <row r="26" spans="1:16" x14ac:dyDescent="0.3">
      <c r="A26" s="6">
        <v>1</v>
      </c>
      <c r="C26" s="60">
        <v>46309</v>
      </c>
      <c r="D26" s="61" t="s">
        <v>34</v>
      </c>
      <c r="E26" s="85"/>
      <c r="F26" s="85"/>
      <c r="G26" s="85"/>
      <c r="H26" s="85"/>
      <c r="I26" s="26">
        <f t="shared" ref="I26:I41" si="2">((H26-E26)-(G26-F26))*24</f>
        <v>0</v>
      </c>
      <c r="J26" s="27">
        <f>'Não Apagar'!$J$3</f>
        <v>8</v>
      </c>
      <c r="K26" s="79">
        <f>IF(I26=0,-'Não Apagar'!$J$3,I26-J26)</f>
        <v>-8</v>
      </c>
      <c r="L26" s="80">
        <f t="shared" si="1"/>
        <v>-936</v>
      </c>
      <c r="P26" s="6">
        <v>1</v>
      </c>
    </row>
    <row r="27" spans="1:16" x14ac:dyDescent="0.3">
      <c r="A27" s="6">
        <v>1</v>
      </c>
      <c r="C27" s="60">
        <v>46310</v>
      </c>
      <c r="D27" s="61" t="s">
        <v>38</v>
      </c>
      <c r="E27" s="85"/>
      <c r="F27" s="85"/>
      <c r="G27" s="85"/>
      <c r="H27" s="85"/>
      <c r="I27" s="26">
        <f t="shared" si="2"/>
        <v>0</v>
      </c>
      <c r="J27" s="27">
        <f>'Não Apagar'!$J$3</f>
        <v>8</v>
      </c>
      <c r="K27" s="79">
        <f>IF(I27=0,-'Não Apagar'!$J$3,I27-J27)</f>
        <v>-8</v>
      </c>
      <c r="L27" s="80">
        <f t="shared" si="1"/>
        <v>-944</v>
      </c>
      <c r="P27" s="6">
        <v>1</v>
      </c>
    </row>
    <row r="28" spans="1:16" x14ac:dyDescent="0.3">
      <c r="A28" s="6">
        <v>1</v>
      </c>
      <c r="C28" s="60">
        <v>46311</v>
      </c>
      <c r="D28" s="61" t="s">
        <v>35</v>
      </c>
      <c r="E28" s="85"/>
      <c r="F28" s="85"/>
      <c r="G28" s="85"/>
      <c r="H28" s="85"/>
      <c r="I28" s="26">
        <f t="shared" si="2"/>
        <v>0</v>
      </c>
      <c r="J28" s="27">
        <f>'Não Apagar'!$J$3</f>
        <v>8</v>
      </c>
      <c r="K28" s="79">
        <f>IF(I28=0,-'Não Apagar'!$J$3,I28-J28)</f>
        <v>-8</v>
      </c>
      <c r="L28" s="80">
        <f t="shared" si="1"/>
        <v>-952</v>
      </c>
      <c r="P28" s="6">
        <v>1</v>
      </c>
    </row>
    <row r="29" spans="1:16" x14ac:dyDescent="0.3">
      <c r="A29" s="6">
        <v>1</v>
      </c>
      <c r="C29" s="64">
        <v>46312</v>
      </c>
      <c r="D29" s="65" t="s">
        <v>36</v>
      </c>
      <c r="E29" s="86"/>
      <c r="F29" s="86"/>
      <c r="G29" s="86"/>
      <c r="H29" s="86"/>
      <c r="I29" s="23"/>
      <c r="J29" s="23"/>
      <c r="K29" s="81"/>
      <c r="L29" s="81"/>
      <c r="P29" s="6">
        <v>1</v>
      </c>
    </row>
    <row r="30" spans="1:16" x14ac:dyDescent="0.3">
      <c r="A30" s="6">
        <v>1</v>
      </c>
      <c r="C30" s="64">
        <v>46313</v>
      </c>
      <c r="D30" s="65" t="s">
        <v>37</v>
      </c>
      <c r="E30" s="86"/>
      <c r="F30" s="86"/>
      <c r="G30" s="86"/>
      <c r="H30" s="86"/>
      <c r="I30" s="23"/>
      <c r="J30" s="23"/>
      <c r="K30" s="81"/>
      <c r="L30" s="81"/>
      <c r="P30" s="6">
        <v>1</v>
      </c>
    </row>
    <row r="31" spans="1:16" x14ac:dyDescent="0.3">
      <c r="A31" s="6">
        <v>1</v>
      </c>
      <c r="C31" s="60">
        <v>46314</v>
      </c>
      <c r="D31" s="61" t="s">
        <v>30</v>
      </c>
      <c r="E31" s="85"/>
      <c r="F31" s="85"/>
      <c r="G31" s="85"/>
      <c r="H31" s="85"/>
      <c r="I31" s="26">
        <f t="shared" si="2"/>
        <v>0</v>
      </c>
      <c r="J31" s="27">
        <f>'Não Apagar'!$J$3</f>
        <v>8</v>
      </c>
      <c r="K31" s="79">
        <f>IF(I31=0,-'Não Apagar'!$J$3,I31-J31)</f>
        <v>-8</v>
      </c>
      <c r="L31" s="80">
        <f>K31+L28</f>
        <v>-960</v>
      </c>
      <c r="P31" s="6">
        <v>1</v>
      </c>
    </row>
    <row r="32" spans="1:16" x14ac:dyDescent="0.3">
      <c r="A32" s="6">
        <v>1</v>
      </c>
      <c r="C32" s="60">
        <v>46315</v>
      </c>
      <c r="D32" s="61" t="s">
        <v>29</v>
      </c>
      <c r="E32" s="85"/>
      <c r="F32" s="85"/>
      <c r="G32" s="85"/>
      <c r="H32" s="85"/>
      <c r="I32" s="26">
        <f t="shared" si="2"/>
        <v>0</v>
      </c>
      <c r="J32" s="27">
        <f>'Não Apagar'!$J$3</f>
        <v>8</v>
      </c>
      <c r="K32" s="79">
        <f>IF(I32=0,-'Não Apagar'!$J$3,I32-J32)</f>
        <v>-8</v>
      </c>
      <c r="L32" s="80">
        <f t="shared" si="1"/>
        <v>-968</v>
      </c>
      <c r="P32" s="6">
        <v>1</v>
      </c>
    </row>
    <row r="33" spans="1:16" x14ac:dyDescent="0.3">
      <c r="A33" s="6">
        <v>1</v>
      </c>
      <c r="C33" s="60">
        <v>46316</v>
      </c>
      <c r="D33" s="61" t="s">
        <v>34</v>
      </c>
      <c r="E33" s="85"/>
      <c r="F33" s="85"/>
      <c r="G33" s="85"/>
      <c r="H33" s="85"/>
      <c r="I33" s="26">
        <f t="shared" si="2"/>
        <v>0</v>
      </c>
      <c r="J33" s="27">
        <f>'Não Apagar'!$J$3</f>
        <v>8</v>
      </c>
      <c r="K33" s="79">
        <f>IF(I33=0,-'Não Apagar'!$J$3,I33-J33)</f>
        <v>-8</v>
      </c>
      <c r="L33" s="80">
        <f t="shared" si="1"/>
        <v>-976</v>
      </c>
      <c r="P33" s="6">
        <v>1</v>
      </c>
    </row>
    <row r="34" spans="1:16" x14ac:dyDescent="0.3">
      <c r="A34" s="6">
        <v>1</v>
      </c>
      <c r="C34" s="60">
        <v>46317</v>
      </c>
      <c r="D34" s="61" t="s">
        <v>38</v>
      </c>
      <c r="E34" s="85"/>
      <c r="F34" s="85"/>
      <c r="G34" s="85"/>
      <c r="H34" s="85"/>
      <c r="I34" s="26">
        <f t="shared" si="2"/>
        <v>0</v>
      </c>
      <c r="J34" s="27">
        <f>'Não Apagar'!$J$3</f>
        <v>8</v>
      </c>
      <c r="K34" s="79">
        <f>IF(I34=0,-'Não Apagar'!$J$3,I34-J34)</f>
        <v>-8</v>
      </c>
      <c r="L34" s="80">
        <f t="shared" si="1"/>
        <v>-984</v>
      </c>
      <c r="P34" s="6">
        <v>1</v>
      </c>
    </row>
    <row r="35" spans="1:16" x14ac:dyDescent="0.3">
      <c r="A35" s="6">
        <v>1</v>
      </c>
      <c r="C35" s="60">
        <v>46318</v>
      </c>
      <c r="D35" s="61" t="s">
        <v>35</v>
      </c>
      <c r="E35" s="85"/>
      <c r="F35" s="85"/>
      <c r="G35" s="85"/>
      <c r="H35" s="85"/>
      <c r="I35" s="26">
        <f t="shared" si="2"/>
        <v>0</v>
      </c>
      <c r="J35" s="27">
        <f>'Não Apagar'!$J$3</f>
        <v>8</v>
      </c>
      <c r="K35" s="79">
        <f>IF(I35=0,-'Não Apagar'!$J$3,I35-J35)</f>
        <v>-8</v>
      </c>
      <c r="L35" s="80">
        <f t="shared" si="1"/>
        <v>-992</v>
      </c>
      <c r="P35" s="6">
        <v>1</v>
      </c>
    </row>
    <row r="36" spans="1:16" x14ac:dyDescent="0.3">
      <c r="A36" s="6">
        <v>1</v>
      </c>
      <c r="C36" s="64">
        <v>46319</v>
      </c>
      <c r="D36" s="65" t="s">
        <v>36</v>
      </c>
      <c r="E36" s="86"/>
      <c r="F36" s="86"/>
      <c r="G36" s="86"/>
      <c r="H36" s="86"/>
      <c r="I36" s="23"/>
      <c r="J36" s="23"/>
      <c r="K36" s="81"/>
      <c r="L36" s="81"/>
      <c r="P36" s="6">
        <v>1</v>
      </c>
    </row>
    <row r="37" spans="1:16" x14ac:dyDescent="0.3">
      <c r="A37" s="6">
        <v>1</v>
      </c>
      <c r="C37" s="64">
        <v>46320</v>
      </c>
      <c r="D37" s="65" t="s">
        <v>37</v>
      </c>
      <c r="E37" s="86"/>
      <c r="F37" s="86"/>
      <c r="G37" s="86"/>
      <c r="H37" s="86"/>
      <c r="I37" s="23"/>
      <c r="J37" s="23"/>
      <c r="K37" s="81"/>
      <c r="L37" s="81"/>
      <c r="P37" s="6">
        <v>1</v>
      </c>
    </row>
    <row r="38" spans="1:16" x14ac:dyDescent="0.3">
      <c r="A38" s="6">
        <v>1</v>
      </c>
      <c r="C38" s="60">
        <v>46321</v>
      </c>
      <c r="D38" s="61" t="s">
        <v>30</v>
      </c>
      <c r="E38" s="85"/>
      <c r="F38" s="85"/>
      <c r="G38" s="85"/>
      <c r="H38" s="85"/>
      <c r="I38" s="26">
        <f t="shared" si="2"/>
        <v>0</v>
      </c>
      <c r="J38" s="27">
        <f>'Não Apagar'!$J$3</f>
        <v>8</v>
      </c>
      <c r="K38" s="79">
        <f>IF(I38=0,-'Não Apagar'!$J$3,I38-J38)</f>
        <v>-8</v>
      </c>
      <c r="L38" s="80">
        <f>K38+L34</f>
        <v>-992</v>
      </c>
      <c r="P38" s="6">
        <v>1</v>
      </c>
    </row>
    <row r="39" spans="1:16" x14ac:dyDescent="0.3">
      <c r="A39" s="6">
        <v>1</v>
      </c>
      <c r="C39" s="60">
        <v>46322</v>
      </c>
      <c r="D39" s="61" t="s">
        <v>29</v>
      </c>
      <c r="E39" s="85"/>
      <c r="F39" s="85"/>
      <c r="G39" s="85"/>
      <c r="H39" s="85"/>
      <c r="I39" s="26">
        <f t="shared" si="2"/>
        <v>0</v>
      </c>
      <c r="J39" s="27">
        <f>'Não Apagar'!$J$3</f>
        <v>8</v>
      </c>
      <c r="K39" s="79">
        <f>IF(I39=0,-'Não Apagar'!$J$3,I39-J39)</f>
        <v>-8</v>
      </c>
      <c r="L39" s="80">
        <f t="shared" ref="L39:L42" si="3">K39+L35</f>
        <v>-1000</v>
      </c>
      <c r="P39" s="6">
        <v>1</v>
      </c>
    </row>
    <row r="40" spans="1:16" x14ac:dyDescent="0.3">
      <c r="A40" s="6">
        <v>1</v>
      </c>
      <c r="C40" s="60">
        <v>46323</v>
      </c>
      <c r="D40" s="61" t="s">
        <v>34</v>
      </c>
      <c r="E40" s="85"/>
      <c r="F40" s="85"/>
      <c r="G40" s="85"/>
      <c r="H40" s="85"/>
      <c r="I40" s="26">
        <f t="shared" si="2"/>
        <v>0</v>
      </c>
      <c r="J40" s="27">
        <f>'Não Apagar'!$J$3</f>
        <v>8</v>
      </c>
      <c r="K40" s="79">
        <f>IF(I40=0,-'Não Apagar'!$J$3,I40-J40)</f>
        <v>-8</v>
      </c>
      <c r="L40" s="80">
        <f>K40+L39</f>
        <v>-1008</v>
      </c>
      <c r="P40" s="6">
        <v>1</v>
      </c>
    </row>
    <row r="41" spans="1:16" x14ac:dyDescent="0.3">
      <c r="A41" s="6">
        <v>1</v>
      </c>
      <c r="C41" s="60">
        <v>46324</v>
      </c>
      <c r="D41" s="61" t="s">
        <v>38</v>
      </c>
      <c r="E41" s="85"/>
      <c r="F41" s="85"/>
      <c r="G41" s="85"/>
      <c r="H41" s="85"/>
      <c r="I41" s="26">
        <f t="shared" si="2"/>
        <v>0</v>
      </c>
      <c r="J41" s="27">
        <f>'Não Apagar'!$J$3</f>
        <v>8</v>
      </c>
      <c r="K41" s="79">
        <f>IF(I41=0,-'Não Apagar'!$J$3,I41-J41)</f>
        <v>-8</v>
      </c>
      <c r="L41" s="80">
        <f t="shared" ref="L41:L42" si="4">K41+L40</f>
        <v>-1016</v>
      </c>
      <c r="P41" s="6">
        <v>1</v>
      </c>
    </row>
    <row r="42" spans="1:16" x14ac:dyDescent="0.3">
      <c r="A42" s="6">
        <v>1</v>
      </c>
      <c r="C42" s="60">
        <v>46325</v>
      </c>
      <c r="D42" s="61" t="s">
        <v>35</v>
      </c>
      <c r="E42" s="85"/>
      <c r="F42" s="85"/>
      <c r="G42" s="85"/>
      <c r="H42" s="85"/>
      <c r="I42" s="26">
        <f>((H42-E42)-(G42-F42))*24</f>
        <v>0</v>
      </c>
      <c r="J42" s="27">
        <f>'Não Apagar'!$J$3</f>
        <v>8</v>
      </c>
      <c r="K42" s="79">
        <f>IF(I42=0,-'Não Apagar'!$J$3,I42-J42)</f>
        <v>-8</v>
      </c>
      <c r="L42" s="80">
        <f t="shared" si="4"/>
        <v>-1024</v>
      </c>
      <c r="P42" s="6">
        <v>1</v>
      </c>
    </row>
    <row r="43" spans="1:16" x14ac:dyDescent="0.3">
      <c r="A43" s="6">
        <v>1</v>
      </c>
      <c r="C43" s="64">
        <v>46326</v>
      </c>
      <c r="D43" s="65" t="s">
        <v>36</v>
      </c>
      <c r="E43" s="86"/>
      <c r="F43" s="86"/>
      <c r="G43" s="86"/>
      <c r="H43" s="86"/>
      <c r="I43" s="23"/>
      <c r="J43" s="23"/>
      <c r="K43" s="81"/>
      <c r="L43" s="23"/>
      <c r="P43" s="6">
        <v>1</v>
      </c>
    </row>
    <row r="44" spans="1:16" x14ac:dyDescent="0.25">
      <c r="A44" s="6">
        <v>1</v>
      </c>
      <c r="P44" s="6">
        <v>1</v>
      </c>
    </row>
    <row r="45" spans="1:16" ht="15" thickBot="1" x14ac:dyDescent="0.3">
      <c r="A45" s="6">
        <v>1</v>
      </c>
      <c r="L45" s="82"/>
      <c r="P45" s="6">
        <v>1</v>
      </c>
    </row>
    <row r="46" spans="1:16" ht="15" thickBot="1" x14ac:dyDescent="0.3">
      <c r="A46" s="6">
        <v>1</v>
      </c>
      <c r="J46" s="30" t="s">
        <v>19</v>
      </c>
      <c r="K46" s="83"/>
      <c r="L46" s="84">
        <f>L42</f>
        <v>-1024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72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CpABLNh4xOOamHtMnoxuxtzaGlWcPNkXfX0z5Ytx2BCFiLVYHrSahPm/VQTWuAtRz2CW7YtC+NK5LolENMbJjQ==" saltValue="Vhp6nnW6FfYo55H8++Evdw==" spinCount="100000" sheet="1" objects="1" scenarios="1" formatCells="0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3F35-584D-499B-95FD-B193CFBD1456}">
  <dimension ref="A1:P62"/>
  <sheetViews>
    <sheetView showGridLines="0" topLeftCell="A13" zoomScale="85" zoomScaleNormal="85" workbookViewId="0">
      <selection activeCell="E13" sqref="E13:H43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4.44140625" style="2" bestFit="1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50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49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4">
        <v>46327</v>
      </c>
      <c r="D13" s="65" t="s">
        <v>37</v>
      </c>
      <c r="E13" s="86"/>
      <c r="F13" s="86"/>
      <c r="G13" s="86"/>
      <c r="H13" s="86"/>
      <c r="I13" s="23"/>
      <c r="J13" s="23"/>
      <c r="K13" s="25"/>
      <c r="L13" s="25"/>
      <c r="P13" s="6">
        <v>1</v>
      </c>
    </row>
    <row r="14" spans="1:16" x14ac:dyDescent="0.3">
      <c r="A14" s="6">
        <v>1</v>
      </c>
      <c r="C14" s="60">
        <v>46328</v>
      </c>
      <c r="D14" s="61" t="s">
        <v>30</v>
      </c>
      <c r="E14" s="85"/>
      <c r="F14" s="85"/>
      <c r="G14" s="85"/>
      <c r="H14" s="85"/>
      <c r="I14" s="27">
        <f t="shared" ref="I14:I18" si="0">((H14-E14)-(G14-F14))*24</f>
        <v>0</v>
      </c>
      <c r="J14" s="27">
        <f>'Não Apagar'!$J$3</f>
        <v>8</v>
      </c>
      <c r="K14" s="28">
        <f>IF(I14=0,-'Não Apagar'!$J$3,I14-J14)</f>
        <v>-8</v>
      </c>
      <c r="L14" s="76">
        <f>K14+Out.26!L46</f>
        <v>-1032</v>
      </c>
      <c r="P14" s="6">
        <v>1</v>
      </c>
    </row>
    <row r="15" spans="1:16" x14ac:dyDescent="0.3">
      <c r="A15" s="6">
        <v>1</v>
      </c>
      <c r="C15" s="60">
        <v>46329</v>
      </c>
      <c r="D15" s="61" t="s">
        <v>29</v>
      </c>
      <c r="E15" s="85"/>
      <c r="F15" s="85"/>
      <c r="G15" s="85"/>
      <c r="H15" s="85"/>
      <c r="I15" s="27">
        <f t="shared" si="0"/>
        <v>0</v>
      </c>
      <c r="J15" s="27">
        <f>'Não Apagar'!$J$3</f>
        <v>8</v>
      </c>
      <c r="K15" s="28">
        <f>IF(I15=0,-'Não Apagar'!$J$3,I15-J15)</f>
        <v>-8</v>
      </c>
      <c r="L15" s="76">
        <f t="shared" ref="L15:L43" si="1">K15+L14</f>
        <v>-1040</v>
      </c>
      <c r="P15" s="6">
        <v>1</v>
      </c>
    </row>
    <row r="16" spans="1:16" x14ac:dyDescent="0.3">
      <c r="A16" s="6">
        <v>1</v>
      </c>
      <c r="C16" s="60">
        <v>46330</v>
      </c>
      <c r="D16" s="61" t="s">
        <v>34</v>
      </c>
      <c r="E16" s="85"/>
      <c r="F16" s="85"/>
      <c r="G16" s="85"/>
      <c r="H16" s="85"/>
      <c r="I16" s="27">
        <f t="shared" si="0"/>
        <v>0</v>
      </c>
      <c r="J16" s="27">
        <f>'Não Apagar'!$J$3</f>
        <v>8</v>
      </c>
      <c r="K16" s="28">
        <f>IF(I16=0,-'Não Apagar'!$J$3,I16-J16)</f>
        <v>-8</v>
      </c>
      <c r="L16" s="76">
        <f t="shared" si="1"/>
        <v>-1048</v>
      </c>
      <c r="P16" s="6">
        <v>1</v>
      </c>
    </row>
    <row r="17" spans="1:16" x14ac:dyDescent="0.3">
      <c r="A17" s="6">
        <v>1</v>
      </c>
      <c r="C17" s="60">
        <v>46331</v>
      </c>
      <c r="D17" s="61" t="s">
        <v>38</v>
      </c>
      <c r="E17" s="85"/>
      <c r="F17" s="85"/>
      <c r="G17" s="85"/>
      <c r="H17" s="85"/>
      <c r="I17" s="27">
        <f t="shared" si="0"/>
        <v>0</v>
      </c>
      <c r="J17" s="27">
        <f>'Não Apagar'!$J$3</f>
        <v>8</v>
      </c>
      <c r="K17" s="28">
        <f>IF(I17=0,-'Não Apagar'!$J$3,I17-J17)</f>
        <v>-8</v>
      </c>
      <c r="L17" s="76">
        <f t="shared" si="1"/>
        <v>-1056</v>
      </c>
      <c r="P17" s="6">
        <v>1</v>
      </c>
    </row>
    <row r="18" spans="1:16" x14ac:dyDescent="0.3">
      <c r="A18" s="6">
        <v>1</v>
      </c>
      <c r="C18" s="60">
        <v>46332</v>
      </c>
      <c r="D18" s="61" t="s">
        <v>35</v>
      </c>
      <c r="E18" s="85"/>
      <c r="F18" s="85"/>
      <c r="G18" s="85"/>
      <c r="H18" s="85"/>
      <c r="I18" s="27">
        <f t="shared" si="0"/>
        <v>0</v>
      </c>
      <c r="J18" s="27">
        <f>'Não Apagar'!$J$3</f>
        <v>8</v>
      </c>
      <c r="K18" s="28">
        <f>IF(I18=0,-'Não Apagar'!$J$3,I18-J18)</f>
        <v>-8</v>
      </c>
      <c r="L18" s="76">
        <f t="shared" si="1"/>
        <v>-1064</v>
      </c>
      <c r="P18" s="6">
        <v>1</v>
      </c>
    </row>
    <row r="19" spans="1:16" x14ac:dyDescent="0.3">
      <c r="A19" s="6">
        <v>1</v>
      </c>
      <c r="C19" s="64">
        <v>46333</v>
      </c>
      <c r="D19" s="65" t="s">
        <v>36</v>
      </c>
      <c r="E19" s="86"/>
      <c r="F19" s="86"/>
      <c r="G19" s="86"/>
      <c r="H19" s="86"/>
      <c r="I19" s="23"/>
      <c r="J19" s="23"/>
      <c r="K19" s="25"/>
      <c r="L19" s="25"/>
      <c r="P19" s="6">
        <v>1</v>
      </c>
    </row>
    <row r="20" spans="1:16" x14ac:dyDescent="0.3">
      <c r="A20" s="6">
        <v>1</v>
      </c>
      <c r="C20" s="64">
        <v>46334</v>
      </c>
      <c r="D20" s="65" t="s">
        <v>37</v>
      </c>
      <c r="E20" s="86"/>
      <c r="F20" s="86"/>
      <c r="G20" s="86"/>
      <c r="H20" s="86"/>
      <c r="I20" s="23"/>
      <c r="J20" s="23"/>
      <c r="K20" s="25"/>
      <c r="L20" s="25"/>
      <c r="P20" s="6">
        <v>1</v>
      </c>
    </row>
    <row r="21" spans="1:16" x14ac:dyDescent="0.3">
      <c r="A21" s="6">
        <v>1</v>
      </c>
      <c r="C21" s="60">
        <v>46335</v>
      </c>
      <c r="D21" s="61" t="s">
        <v>30</v>
      </c>
      <c r="E21" s="85"/>
      <c r="F21" s="85"/>
      <c r="G21" s="85"/>
      <c r="H21" s="85"/>
      <c r="I21" s="27">
        <f>((H21-E21)-(G21-F21))*24</f>
        <v>0</v>
      </c>
      <c r="J21" s="27">
        <f>'Não Apagar'!$J$3</f>
        <v>8</v>
      </c>
      <c r="K21" s="28">
        <f>IF(I21=0,-'Não Apagar'!$J$3,I21-J21)</f>
        <v>-8</v>
      </c>
      <c r="L21" s="76">
        <f>K21+L18</f>
        <v>-1072</v>
      </c>
      <c r="P21" s="6">
        <v>1</v>
      </c>
    </row>
    <row r="22" spans="1:16" x14ac:dyDescent="0.3">
      <c r="A22" s="6">
        <v>1</v>
      </c>
      <c r="C22" s="60">
        <v>46336</v>
      </c>
      <c r="D22" s="61" t="s">
        <v>29</v>
      </c>
      <c r="E22" s="85"/>
      <c r="F22" s="85"/>
      <c r="G22" s="85"/>
      <c r="H22" s="85"/>
      <c r="I22" s="27">
        <f>((H22-E22)-(G22-F22))*24</f>
        <v>0</v>
      </c>
      <c r="J22" s="27">
        <f>'Não Apagar'!$J$3</f>
        <v>8</v>
      </c>
      <c r="K22" s="28">
        <f>IF(I22=0,-'Não Apagar'!$J$3,I22-J22)</f>
        <v>-8</v>
      </c>
      <c r="L22" s="76">
        <f t="shared" si="1"/>
        <v>-1080</v>
      </c>
      <c r="P22" s="6">
        <v>1</v>
      </c>
    </row>
    <row r="23" spans="1:16" x14ac:dyDescent="0.3">
      <c r="A23" s="6">
        <v>1</v>
      </c>
      <c r="C23" s="60">
        <v>46337</v>
      </c>
      <c r="D23" s="61" t="s">
        <v>34</v>
      </c>
      <c r="E23" s="85"/>
      <c r="F23" s="85"/>
      <c r="G23" s="85"/>
      <c r="H23" s="85"/>
      <c r="I23" s="27">
        <f>((H23-E23)-(G23-F23))*24</f>
        <v>0</v>
      </c>
      <c r="J23" s="27">
        <f>'Não Apagar'!$J$3</f>
        <v>8</v>
      </c>
      <c r="K23" s="28">
        <f>IF(I23=0,-'Não Apagar'!$J$3,I23-J23)</f>
        <v>-8</v>
      </c>
      <c r="L23" s="76">
        <f t="shared" si="1"/>
        <v>-1088</v>
      </c>
      <c r="P23" s="6">
        <v>1</v>
      </c>
    </row>
    <row r="24" spans="1:16" x14ac:dyDescent="0.3">
      <c r="A24" s="6">
        <v>1</v>
      </c>
      <c r="C24" s="60">
        <v>46338</v>
      </c>
      <c r="D24" s="61" t="s">
        <v>38</v>
      </c>
      <c r="E24" s="85"/>
      <c r="F24" s="85"/>
      <c r="G24" s="85"/>
      <c r="H24" s="85"/>
      <c r="I24" s="27">
        <f>((H24-E24)-(G24-F24))*24</f>
        <v>0</v>
      </c>
      <c r="J24" s="27">
        <f>'Não Apagar'!$J$3</f>
        <v>8</v>
      </c>
      <c r="K24" s="28">
        <f>IF(I24=0,-'Não Apagar'!$J$3,I24-J24)</f>
        <v>-8</v>
      </c>
      <c r="L24" s="76">
        <f t="shared" si="1"/>
        <v>-1096</v>
      </c>
      <c r="P24" s="6">
        <v>1</v>
      </c>
    </row>
    <row r="25" spans="1:16" x14ac:dyDescent="0.3">
      <c r="A25" s="6">
        <v>1</v>
      </c>
      <c r="C25" s="60">
        <v>46339</v>
      </c>
      <c r="D25" s="61" t="s">
        <v>35</v>
      </c>
      <c r="E25" s="85"/>
      <c r="F25" s="85"/>
      <c r="G25" s="85"/>
      <c r="H25" s="85"/>
      <c r="I25" s="27">
        <f>((H25-E25)-(G25-F25))*24</f>
        <v>0</v>
      </c>
      <c r="J25" s="27">
        <f>'Não Apagar'!$J$3</f>
        <v>8</v>
      </c>
      <c r="K25" s="28">
        <f>IF(I25=0,-'Não Apagar'!$J$3,I25-J25)</f>
        <v>-8</v>
      </c>
      <c r="L25" s="76">
        <f t="shared" si="1"/>
        <v>-1104</v>
      </c>
      <c r="P25" s="6">
        <v>1</v>
      </c>
    </row>
    <row r="26" spans="1:16" x14ac:dyDescent="0.3">
      <c r="A26" s="6">
        <v>1</v>
      </c>
      <c r="C26" s="64">
        <v>46340</v>
      </c>
      <c r="D26" s="65" t="s">
        <v>36</v>
      </c>
      <c r="E26" s="86"/>
      <c r="F26" s="86"/>
      <c r="G26" s="86"/>
      <c r="H26" s="86"/>
      <c r="I26" s="23"/>
      <c r="J26" s="23"/>
      <c r="K26" s="25"/>
      <c r="L26" s="25"/>
      <c r="P26" s="6">
        <v>1</v>
      </c>
    </row>
    <row r="27" spans="1:16" x14ac:dyDescent="0.3">
      <c r="A27" s="6">
        <v>1</v>
      </c>
      <c r="C27" s="64">
        <v>46341</v>
      </c>
      <c r="D27" s="65" t="s">
        <v>37</v>
      </c>
      <c r="E27" s="86"/>
      <c r="F27" s="86"/>
      <c r="G27" s="86"/>
      <c r="H27" s="86"/>
      <c r="I27" s="23"/>
      <c r="J27" s="23"/>
      <c r="K27" s="25"/>
      <c r="L27" s="25"/>
      <c r="P27" s="6">
        <v>1</v>
      </c>
    </row>
    <row r="28" spans="1:16" x14ac:dyDescent="0.3">
      <c r="A28" s="6">
        <v>1</v>
      </c>
      <c r="C28" s="60">
        <v>46342</v>
      </c>
      <c r="D28" s="61" t="s">
        <v>30</v>
      </c>
      <c r="E28" s="85"/>
      <c r="F28" s="85"/>
      <c r="G28" s="85"/>
      <c r="H28" s="85"/>
      <c r="I28" s="27">
        <f t="shared" ref="I28:I39" si="2">((H28-E28)-(G28-F28))*24</f>
        <v>0</v>
      </c>
      <c r="J28" s="27">
        <f>'Não Apagar'!$J$3</f>
        <v>8</v>
      </c>
      <c r="K28" s="28">
        <f>IF(I28=0,-'Não Apagar'!$J$3,I28-J28)</f>
        <v>-8</v>
      </c>
      <c r="L28" s="76">
        <f>K28+L25</f>
        <v>-1112</v>
      </c>
      <c r="P28" s="6">
        <v>1</v>
      </c>
    </row>
    <row r="29" spans="1:16" x14ac:dyDescent="0.3">
      <c r="A29" s="6">
        <v>1</v>
      </c>
      <c r="C29" s="60">
        <v>46343</v>
      </c>
      <c r="D29" s="61" t="s">
        <v>29</v>
      </c>
      <c r="E29" s="85"/>
      <c r="F29" s="85"/>
      <c r="G29" s="85"/>
      <c r="H29" s="85"/>
      <c r="I29" s="27">
        <f t="shared" si="2"/>
        <v>0</v>
      </c>
      <c r="J29" s="27">
        <f>'Não Apagar'!$J$3</f>
        <v>8</v>
      </c>
      <c r="K29" s="28">
        <f>IF(I29=0,-'Não Apagar'!$J$3,I29-J29)</f>
        <v>-8</v>
      </c>
      <c r="L29" s="76">
        <f t="shared" si="1"/>
        <v>-1120</v>
      </c>
      <c r="P29" s="6">
        <v>1</v>
      </c>
    </row>
    <row r="30" spans="1:16" x14ac:dyDescent="0.3">
      <c r="A30" s="6">
        <v>1</v>
      </c>
      <c r="C30" s="60">
        <v>46344</v>
      </c>
      <c r="D30" s="61" t="s">
        <v>34</v>
      </c>
      <c r="E30" s="85"/>
      <c r="F30" s="85"/>
      <c r="G30" s="85"/>
      <c r="H30" s="85"/>
      <c r="I30" s="27">
        <f t="shared" si="2"/>
        <v>0</v>
      </c>
      <c r="J30" s="27">
        <f>'Não Apagar'!$J$3</f>
        <v>8</v>
      </c>
      <c r="K30" s="28">
        <f>IF(I30=0,-'Não Apagar'!$J$3,I30-J30)</f>
        <v>-8</v>
      </c>
      <c r="L30" s="76">
        <f t="shared" si="1"/>
        <v>-1128</v>
      </c>
      <c r="P30" s="6">
        <v>1</v>
      </c>
    </row>
    <row r="31" spans="1:16" x14ac:dyDescent="0.3">
      <c r="A31" s="6">
        <v>1</v>
      </c>
      <c r="C31" s="60">
        <v>46345</v>
      </c>
      <c r="D31" s="61" t="s">
        <v>38</v>
      </c>
      <c r="E31" s="85"/>
      <c r="F31" s="85"/>
      <c r="G31" s="85"/>
      <c r="H31" s="85"/>
      <c r="I31" s="27">
        <f t="shared" si="2"/>
        <v>0</v>
      </c>
      <c r="J31" s="27">
        <f>'Não Apagar'!$J$3</f>
        <v>8</v>
      </c>
      <c r="K31" s="28">
        <f>IF(I31=0,-'Não Apagar'!$J$3,I31-J31)</f>
        <v>-8</v>
      </c>
      <c r="L31" s="76">
        <f t="shared" si="1"/>
        <v>-1136</v>
      </c>
      <c r="P31" s="6">
        <v>1</v>
      </c>
    </row>
    <row r="32" spans="1:16" x14ac:dyDescent="0.3">
      <c r="A32" s="6">
        <v>1</v>
      </c>
      <c r="C32" s="60">
        <v>46346</v>
      </c>
      <c r="D32" s="61" t="s">
        <v>35</v>
      </c>
      <c r="E32" s="85"/>
      <c r="F32" s="85"/>
      <c r="G32" s="85"/>
      <c r="H32" s="85"/>
      <c r="I32" s="27">
        <f t="shared" si="2"/>
        <v>0</v>
      </c>
      <c r="J32" s="27">
        <f>'Não Apagar'!$J$3</f>
        <v>8</v>
      </c>
      <c r="K32" s="28">
        <f>IF(I32=0,-'Não Apagar'!$J$3,I32-J32)</f>
        <v>-8</v>
      </c>
      <c r="L32" s="76">
        <f t="shared" si="1"/>
        <v>-1144</v>
      </c>
      <c r="P32" s="6">
        <v>1</v>
      </c>
    </row>
    <row r="33" spans="1:16" x14ac:dyDescent="0.3">
      <c r="A33" s="6">
        <v>1</v>
      </c>
      <c r="C33" s="64">
        <v>46347</v>
      </c>
      <c r="D33" s="65" t="s">
        <v>36</v>
      </c>
      <c r="E33" s="86"/>
      <c r="F33" s="86"/>
      <c r="G33" s="86"/>
      <c r="H33" s="86"/>
      <c r="I33" s="23"/>
      <c r="J33" s="23"/>
      <c r="K33" s="25"/>
      <c r="L33" s="25"/>
      <c r="P33" s="6">
        <v>1</v>
      </c>
    </row>
    <row r="34" spans="1:16" x14ac:dyDescent="0.3">
      <c r="A34" s="6">
        <v>1</v>
      </c>
      <c r="C34" s="64">
        <v>46348</v>
      </c>
      <c r="D34" s="65" t="s">
        <v>37</v>
      </c>
      <c r="E34" s="86"/>
      <c r="F34" s="86"/>
      <c r="G34" s="86"/>
      <c r="H34" s="86"/>
      <c r="I34" s="23"/>
      <c r="J34" s="23"/>
      <c r="K34" s="25"/>
      <c r="L34" s="25"/>
      <c r="P34" s="6">
        <v>1</v>
      </c>
    </row>
    <row r="35" spans="1:16" x14ac:dyDescent="0.3">
      <c r="A35" s="6">
        <v>1</v>
      </c>
      <c r="C35" s="60">
        <v>46349</v>
      </c>
      <c r="D35" s="61" t="s">
        <v>30</v>
      </c>
      <c r="E35" s="85"/>
      <c r="F35" s="85"/>
      <c r="G35" s="85"/>
      <c r="H35" s="85"/>
      <c r="I35" s="27">
        <f t="shared" si="2"/>
        <v>0</v>
      </c>
      <c r="J35" s="27">
        <f>'Não Apagar'!$J$3</f>
        <v>8</v>
      </c>
      <c r="K35" s="28">
        <f>IF(I35=0,-'Não Apagar'!$J$3,I35-J35)</f>
        <v>-8</v>
      </c>
      <c r="L35" s="76">
        <f>K35+L32</f>
        <v>-1152</v>
      </c>
      <c r="P35" s="6">
        <v>1</v>
      </c>
    </row>
    <row r="36" spans="1:16" x14ac:dyDescent="0.3">
      <c r="A36" s="6">
        <v>1</v>
      </c>
      <c r="C36" s="60">
        <v>46350</v>
      </c>
      <c r="D36" s="61" t="s">
        <v>29</v>
      </c>
      <c r="E36" s="85"/>
      <c r="F36" s="85"/>
      <c r="G36" s="85"/>
      <c r="H36" s="85"/>
      <c r="I36" s="27">
        <f t="shared" si="2"/>
        <v>0</v>
      </c>
      <c r="J36" s="27">
        <f>'Não Apagar'!$J$3</f>
        <v>8</v>
      </c>
      <c r="K36" s="28">
        <f>IF(I36=0,-'Não Apagar'!$J$3,I36-J36)</f>
        <v>-8</v>
      </c>
      <c r="L36" s="76">
        <f t="shared" si="1"/>
        <v>-1160</v>
      </c>
      <c r="P36" s="6">
        <v>1</v>
      </c>
    </row>
    <row r="37" spans="1:16" x14ac:dyDescent="0.3">
      <c r="A37" s="6">
        <v>1</v>
      </c>
      <c r="C37" s="60">
        <v>46351</v>
      </c>
      <c r="D37" s="61" t="s">
        <v>34</v>
      </c>
      <c r="E37" s="85"/>
      <c r="F37" s="85"/>
      <c r="G37" s="85"/>
      <c r="H37" s="85"/>
      <c r="I37" s="27">
        <f t="shared" si="2"/>
        <v>0</v>
      </c>
      <c r="J37" s="27">
        <f>'Não Apagar'!$J$3</f>
        <v>8</v>
      </c>
      <c r="K37" s="28">
        <f>IF(I37=0,-'Não Apagar'!$J$3,I37-J37)</f>
        <v>-8</v>
      </c>
      <c r="L37" s="76">
        <f t="shared" si="1"/>
        <v>-1168</v>
      </c>
      <c r="P37" s="6">
        <v>1</v>
      </c>
    </row>
    <row r="38" spans="1:16" x14ac:dyDescent="0.3">
      <c r="A38" s="6">
        <v>1</v>
      </c>
      <c r="C38" s="60">
        <v>46352</v>
      </c>
      <c r="D38" s="61" t="s">
        <v>38</v>
      </c>
      <c r="E38" s="85"/>
      <c r="F38" s="85"/>
      <c r="G38" s="85"/>
      <c r="H38" s="85"/>
      <c r="I38" s="27">
        <f t="shared" si="2"/>
        <v>0</v>
      </c>
      <c r="J38" s="27">
        <f>'Não Apagar'!$J$3</f>
        <v>8</v>
      </c>
      <c r="K38" s="28">
        <f>IF(I38=0,-'Não Apagar'!$J$3,I38-J38)</f>
        <v>-8</v>
      </c>
      <c r="L38" s="76">
        <f t="shared" si="1"/>
        <v>-1176</v>
      </c>
      <c r="P38" s="6">
        <v>1</v>
      </c>
    </row>
    <row r="39" spans="1:16" x14ac:dyDescent="0.3">
      <c r="A39" s="6">
        <v>1</v>
      </c>
      <c r="C39" s="60">
        <v>46353</v>
      </c>
      <c r="D39" s="61" t="s">
        <v>35</v>
      </c>
      <c r="E39" s="85"/>
      <c r="F39" s="85"/>
      <c r="G39" s="85"/>
      <c r="H39" s="85"/>
      <c r="I39" s="27">
        <f t="shared" si="2"/>
        <v>0</v>
      </c>
      <c r="J39" s="27">
        <f>'Não Apagar'!$J$3</f>
        <v>8</v>
      </c>
      <c r="K39" s="28">
        <f>IF(I39=0,-'Não Apagar'!$J$3,I39-J39)</f>
        <v>-8</v>
      </c>
      <c r="L39" s="76">
        <f t="shared" si="1"/>
        <v>-1184</v>
      </c>
      <c r="P39" s="6">
        <v>1</v>
      </c>
    </row>
    <row r="40" spans="1:16" x14ac:dyDescent="0.3">
      <c r="A40" s="6">
        <v>1</v>
      </c>
      <c r="C40" s="64">
        <v>46354</v>
      </c>
      <c r="D40" s="65" t="s">
        <v>36</v>
      </c>
      <c r="E40" s="86"/>
      <c r="F40" s="86"/>
      <c r="G40" s="86"/>
      <c r="H40" s="86"/>
      <c r="I40" s="23"/>
      <c r="J40" s="23"/>
      <c r="K40" s="25"/>
      <c r="L40" s="25"/>
      <c r="P40" s="6">
        <v>1</v>
      </c>
    </row>
    <row r="41" spans="1:16" x14ac:dyDescent="0.3">
      <c r="A41" s="6">
        <v>1</v>
      </c>
      <c r="C41" s="64">
        <v>46355</v>
      </c>
      <c r="D41" s="65" t="s">
        <v>37</v>
      </c>
      <c r="E41" s="87"/>
      <c r="F41" s="87"/>
      <c r="G41" s="87"/>
      <c r="H41" s="87"/>
      <c r="I41" s="23"/>
      <c r="J41" s="23"/>
      <c r="K41" s="25"/>
      <c r="L41" s="25"/>
      <c r="P41" s="6">
        <v>1</v>
      </c>
    </row>
    <row r="42" spans="1:16" x14ac:dyDescent="0.3">
      <c r="A42" s="6">
        <v>1</v>
      </c>
      <c r="B42" s="68"/>
      <c r="C42" s="60">
        <v>46356</v>
      </c>
      <c r="D42" s="61" t="s">
        <v>30</v>
      </c>
      <c r="E42" s="85"/>
      <c r="F42" s="85"/>
      <c r="G42" s="85"/>
      <c r="H42" s="85"/>
      <c r="I42" s="27">
        <f t="shared" ref="I42:I43" si="3">((H42-E42)-(G42-F42))*24</f>
        <v>0</v>
      </c>
      <c r="J42" s="27">
        <f>'Não Apagar'!$J$3</f>
        <v>8</v>
      </c>
      <c r="K42" s="28">
        <f>IF(I42=0,-'Não Apagar'!$J$3,I42-J42)</f>
        <v>-8</v>
      </c>
      <c r="L42" s="76">
        <f>K42+L39</f>
        <v>-1192</v>
      </c>
      <c r="P42" s="6">
        <v>1</v>
      </c>
    </row>
    <row r="43" spans="1:16" x14ac:dyDescent="0.3">
      <c r="A43" s="6">
        <v>1</v>
      </c>
      <c r="B43" s="68"/>
      <c r="C43" s="60">
        <v>46112</v>
      </c>
      <c r="D43" s="61" t="s">
        <v>29</v>
      </c>
      <c r="E43" s="85"/>
      <c r="F43" s="85"/>
      <c r="G43" s="85"/>
      <c r="H43" s="85"/>
      <c r="I43" s="27">
        <f t="shared" si="3"/>
        <v>0</v>
      </c>
      <c r="J43" s="27">
        <f>'Não Apagar'!$J$3</f>
        <v>8</v>
      </c>
      <c r="K43" s="28">
        <f>IF(I43=0,-'Não Apagar'!$J$3,I43-J43)</f>
        <v>-8</v>
      </c>
      <c r="L43" s="76">
        <f t="shared" si="1"/>
        <v>-1200</v>
      </c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L43</f>
        <v>-1200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zLrkeInyrThw94kQjZZc6OkM+K333Vmdyi0pb6JKSvcjjQgqs+LbJZWnOCe5huzjAvN9oPZG2BXbTMytMAY5xw==" saltValue="I3Y6zCDamtO7MWU6XY8pUQ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30FA-67A5-450D-AE63-067FF8CACE34}">
  <dimension ref="A1:P62"/>
  <sheetViews>
    <sheetView showGridLines="0" zoomScale="85" zoomScaleNormal="85" workbookViewId="0">
      <selection activeCell="J16" sqref="J16"/>
    </sheetView>
  </sheetViews>
  <sheetFormatPr defaultColWidth="9.109375" defaultRowHeight="14.4" x14ac:dyDescent="0.25"/>
  <cols>
    <col min="1" max="1" width="1.6640625" style="2" customWidth="1"/>
    <col min="2" max="2" width="5.44140625" style="2" customWidth="1"/>
    <col min="3" max="3" width="19.33203125" style="2" customWidth="1"/>
    <col min="4" max="4" width="15.33203125" style="2" customWidth="1"/>
    <col min="5" max="8" width="10.6640625" style="1" customWidth="1"/>
    <col min="9" max="9" width="14" style="2" customWidth="1"/>
    <col min="10" max="10" width="20.88671875" style="2" customWidth="1"/>
    <col min="11" max="11" width="10" style="2" customWidth="1"/>
    <col min="12" max="12" width="34.44140625" style="2" bestFit="1" customWidth="1"/>
    <col min="13" max="13" width="3.88671875" style="2" customWidth="1"/>
    <col min="14" max="14" width="8.44140625" style="2" customWidth="1"/>
    <col min="15" max="15" width="9.109375" style="2"/>
    <col min="16" max="16" width="1.6640625" style="2" customWidth="1"/>
    <col min="17" max="16384" width="9.109375" style="2"/>
  </cols>
  <sheetData>
    <row r="1" spans="1:16" ht="10.5" customHeight="1" x14ac:dyDescent="0.25">
      <c r="A1" s="6">
        <v>1</v>
      </c>
      <c r="B1" s="6">
        <v>1</v>
      </c>
      <c r="C1" s="6">
        <v>1</v>
      </c>
      <c r="D1" s="6">
        <v>1</v>
      </c>
      <c r="E1" s="72">
        <v>1</v>
      </c>
      <c r="F1" s="72">
        <v>1</v>
      </c>
      <c r="G1" s="72">
        <v>1</v>
      </c>
      <c r="H1" s="72">
        <v>1</v>
      </c>
      <c r="I1" s="6">
        <v>1</v>
      </c>
      <c r="J1" s="6">
        <v>1</v>
      </c>
      <c r="K1" s="6">
        <v>1</v>
      </c>
      <c r="L1" s="6">
        <v>1</v>
      </c>
      <c r="M1" s="6">
        <v>1</v>
      </c>
      <c r="N1" s="6">
        <v>1</v>
      </c>
      <c r="O1" s="6">
        <v>1</v>
      </c>
      <c r="P1" s="6">
        <v>1</v>
      </c>
    </row>
    <row r="2" spans="1:16" ht="10.5" customHeight="1" x14ac:dyDescent="0.25">
      <c r="A2" s="6"/>
      <c r="B2" s="7"/>
      <c r="C2" s="7"/>
      <c r="D2" s="7"/>
      <c r="E2" s="73"/>
      <c r="F2" s="73"/>
      <c r="G2" s="73"/>
      <c r="H2" s="73"/>
      <c r="I2" s="7"/>
      <c r="J2" s="7"/>
      <c r="K2" s="7"/>
      <c r="L2" s="7"/>
      <c r="M2" s="7"/>
      <c r="N2" s="7"/>
      <c r="O2" s="7"/>
      <c r="P2" s="6"/>
    </row>
    <row r="3" spans="1:16" ht="18.75" customHeight="1" x14ac:dyDescent="0.25">
      <c r="A3" s="6"/>
      <c r="B3" s="7"/>
      <c r="C3" s="8" t="s">
        <v>0</v>
      </c>
      <c r="D3" s="9"/>
      <c r="E3" s="9"/>
      <c r="F3" s="9"/>
      <c r="G3" s="9"/>
      <c r="H3" s="73"/>
      <c r="I3" s="7"/>
      <c r="J3" s="7"/>
      <c r="K3" s="7"/>
      <c r="L3" s="7"/>
      <c r="M3" s="7"/>
      <c r="N3" s="7"/>
      <c r="O3" s="7"/>
      <c r="P3" s="6"/>
    </row>
    <row r="4" spans="1:16" x14ac:dyDescent="0.25">
      <c r="A4" s="6">
        <v>1</v>
      </c>
      <c r="C4" s="63" t="s">
        <v>1</v>
      </c>
      <c r="D4" s="62" t="s">
        <v>2</v>
      </c>
      <c r="E4" s="11"/>
      <c r="F4" s="11"/>
      <c r="G4" s="11"/>
      <c r="P4" s="6">
        <v>1</v>
      </c>
    </row>
    <row r="5" spans="1:16" x14ac:dyDescent="0.25">
      <c r="A5" s="6">
        <v>1</v>
      </c>
      <c r="C5" s="63" t="s">
        <v>3</v>
      </c>
      <c r="D5" s="93"/>
      <c r="E5" s="93"/>
      <c r="F5" s="93"/>
      <c r="G5" s="93"/>
      <c r="P5" s="6">
        <v>1</v>
      </c>
    </row>
    <row r="6" spans="1:16" x14ac:dyDescent="0.25">
      <c r="A6" s="6">
        <v>1</v>
      </c>
      <c r="C6" s="63" t="s">
        <v>4</v>
      </c>
      <c r="D6" s="99" t="s">
        <v>48</v>
      </c>
      <c r="E6" s="94"/>
      <c r="F6" s="94"/>
      <c r="G6" s="94"/>
      <c r="P6" s="6">
        <v>1</v>
      </c>
    </row>
    <row r="7" spans="1:16" x14ac:dyDescent="0.25">
      <c r="A7" s="6">
        <v>1</v>
      </c>
      <c r="P7" s="6">
        <v>1</v>
      </c>
    </row>
    <row r="8" spans="1:16" x14ac:dyDescent="0.25">
      <c r="A8" s="6">
        <v>1</v>
      </c>
      <c r="P8" s="6">
        <v>1</v>
      </c>
    </row>
    <row r="9" spans="1:16" x14ac:dyDescent="0.25">
      <c r="A9" s="6">
        <v>1</v>
      </c>
      <c r="P9" s="6">
        <v>1</v>
      </c>
    </row>
    <row r="10" spans="1:16" x14ac:dyDescent="0.25">
      <c r="A10" s="6">
        <v>1</v>
      </c>
      <c r="P10" s="6">
        <v>1</v>
      </c>
    </row>
    <row r="11" spans="1:16" ht="33.6" customHeight="1" x14ac:dyDescent="0.25">
      <c r="A11" s="6">
        <v>1</v>
      </c>
      <c r="C11" s="91" t="s">
        <v>23</v>
      </c>
      <c r="D11" s="91"/>
      <c r="E11" s="91"/>
      <c r="F11" s="91"/>
      <c r="G11" s="91"/>
      <c r="H11" s="91"/>
      <c r="I11" s="91"/>
      <c r="J11" s="91"/>
      <c r="K11" s="91"/>
      <c r="L11" s="91"/>
      <c r="P11" s="6">
        <v>1</v>
      </c>
    </row>
    <row r="12" spans="1:16" ht="33.6" customHeight="1" x14ac:dyDescent="0.25">
      <c r="A12" s="6">
        <v>1</v>
      </c>
      <c r="C12" s="12" t="s">
        <v>8</v>
      </c>
      <c r="D12" s="12" t="s">
        <v>9</v>
      </c>
      <c r="E12" s="12" t="s">
        <v>10</v>
      </c>
      <c r="F12" s="12" t="s">
        <v>11</v>
      </c>
      <c r="G12" s="12" t="s">
        <v>12</v>
      </c>
      <c r="H12" s="12" t="s">
        <v>13</v>
      </c>
      <c r="I12" s="12" t="s">
        <v>14</v>
      </c>
      <c r="J12" s="12" t="s">
        <v>15</v>
      </c>
      <c r="K12" s="12" t="s">
        <v>16</v>
      </c>
      <c r="L12" s="12" t="s">
        <v>17</v>
      </c>
      <c r="P12" s="6">
        <v>1</v>
      </c>
    </row>
    <row r="13" spans="1:16" x14ac:dyDescent="0.3">
      <c r="A13" s="6">
        <v>1</v>
      </c>
      <c r="C13" s="60">
        <v>46357</v>
      </c>
      <c r="D13" s="61" t="s">
        <v>29</v>
      </c>
      <c r="E13" s="85"/>
      <c r="F13" s="85"/>
      <c r="G13" s="85"/>
      <c r="H13" s="85"/>
      <c r="I13" s="27">
        <f t="shared" ref="I13:I42" si="0">((H13-E13)-(G13-F13))*24</f>
        <v>0</v>
      </c>
      <c r="J13" s="27">
        <f>'Não Apagar'!$J$3</f>
        <v>8</v>
      </c>
      <c r="K13" s="28">
        <f>IF(I14=0,-'Não Apagar'!$J$3,I14-J14)</f>
        <v>-8</v>
      </c>
      <c r="L13" s="76">
        <f>K13+Nov.26!L46</f>
        <v>-1208</v>
      </c>
      <c r="P13" s="6">
        <v>1</v>
      </c>
    </row>
    <row r="14" spans="1:16" x14ac:dyDescent="0.3">
      <c r="A14" s="6">
        <v>1</v>
      </c>
      <c r="C14" s="60">
        <v>46358</v>
      </c>
      <c r="D14" s="61" t="s">
        <v>34</v>
      </c>
      <c r="E14" s="85"/>
      <c r="F14" s="85"/>
      <c r="G14" s="85"/>
      <c r="H14" s="85"/>
      <c r="I14" s="27">
        <f t="shared" si="0"/>
        <v>0</v>
      </c>
      <c r="J14" s="27">
        <f>'Não Apagar'!$J$3</f>
        <v>8</v>
      </c>
      <c r="K14" s="28">
        <f>IF(I15=0,-'Não Apagar'!$J$3,I15-J15)</f>
        <v>-8</v>
      </c>
      <c r="L14" s="76">
        <f>K14+L13</f>
        <v>-1216</v>
      </c>
      <c r="P14" s="6">
        <v>1</v>
      </c>
    </row>
    <row r="15" spans="1:16" x14ac:dyDescent="0.3">
      <c r="A15" s="6">
        <v>1</v>
      </c>
      <c r="C15" s="60">
        <v>46359</v>
      </c>
      <c r="D15" s="61" t="s">
        <v>38</v>
      </c>
      <c r="E15" s="85"/>
      <c r="F15" s="85"/>
      <c r="G15" s="85"/>
      <c r="H15" s="85"/>
      <c r="I15" s="27">
        <f t="shared" si="0"/>
        <v>0</v>
      </c>
      <c r="J15" s="27">
        <f>'Não Apagar'!$J$3</f>
        <v>8</v>
      </c>
      <c r="K15" s="28">
        <f>IF(I16=0,-'Não Apagar'!$J$3,I16-J16)</f>
        <v>-8</v>
      </c>
      <c r="L15" s="76">
        <f t="shared" ref="L15:L42" si="1">K15+L14</f>
        <v>-1224</v>
      </c>
      <c r="P15" s="6">
        <v>1</v>
      </c>
    </row>
    <row r="16" spans="1:16" x14ac:dyDescent="0.3">
      <c r="A16" s="6">
        <v>1</v>
      </c>
      <c r="C16" s="60">
        <v>46360</v>
      </c>
      <c r="D16" s="61" t="s">
        <v>35</v>
      </c>
      <c r="E16" s="85"/>
      <c r="F16" s="85"/>
      <c r="G16" s="85"/>
      <c r="H16" s="85"/>
      <c r="I16" s="27">
        <f t="shared" si="0"/>
        <v>0</v>
      </c>
      <c r="J16" s="27">
        <f>'Não Apagar'!$J$3</f>
        <v>8</v>
      </c>
      <c r="K16" s="28">
        <f>IF(I17=0,-'Não Apagar'!$J$3,I17-J17)</f>
        <v>-8</v>
      </c>
      <c r="L16" s="76">
        <f t="shared" si="1"/>
        <v>-1232</v>
      </c>
      <c r="P16" s="6">
        <v>1</v>
      </c>
    </row>
    <row r="17" spans="1:16" x14ac:dyDescent="0.3">
      <c r="A17" s="6">
        <v>1</v>
      </c>
      <c r="C17" s="64">
        <v>46361</v>
      </c>
      <c r="D17" s="65" t="s">
        <v>36</v>
      </c>
      <c r="E17" s="86"/>
      <c r="F17" s="86"/>
      <c r="G17" s="86"/>
      <c r="H17" s="86"/>
      <c r="I17" s="86"/>
      <c r="J17" s="86"/>
      <c r="K17" s="86"/>
      <c r="L17" s="86"/>
      <c r="P17" s="6">
        <v>1</v>
      </c>
    </row>
    <row r="18" spans="1:16" x14ac:dyDescent="0.3">
      <c r="A18" s="6">
        <v>1</v>
      </c>
      <c r="C18" s="64">
        <v>46362</v>
      </c>
      <c r="D18" s="65" t="s">
        <v>37</v>
      </c>
      <c r="E18" s="86"/>
      <c r="F18" s="86"/>
      <c r="G18" s="86"/>
      <c r="H18" s="86"/>
      <c r="I18" s="86"/>
      <c r="J18" s="86"/>
      <c r="K18" s="86"/>
      <c r="L18" s="86"/>
      <c r="P18" s="6">
        <v>1</v>
      </c>
    </row>
    <row r="19" spans="1:16" x14ac:dyDescent="0.3">
      <c r="A19" s="6">
        <v>1</v>
      </c>
      <c r="C19" s="60">
        <v>46363</v>
      </c>
      <c r="D19" s="61" t="s">
        <v>30</v>
      </c>
      <c r="E19" s="85"/>
      <c r="F19" s="85"/>
      <c r="G19" s="85"/>
      <c r="H19" s="85"/>
      <c r="I19" s="27">
        <f t="shared" si="0"/>
        <v>0</v>
      </c>
      <c r="J19" s="27">
        <f>'Não Apagar'!$J$3</f>
        <v>8</v>
      </c>
      <c r="K19" s="28">
        <f>IF(I20=0,-'Não Apagar'!$J$3,I20-J20)</f>
        <v>-8</v>
      </c>
      <c r="L19" s="76">
        <f>K19+L16</f>
        <v>-1240</v>
      </c>
      <c r="P19" s="6">
        <v>1</v>
      </c>
    </row>
    <row r="20" spans="1:16" x14ac:dyDescent="0.3">
      <c r="A20" s="6">
        <v>1</v>
      </c>
      <c r="C20" s="60">
        <v>46364</v>
      </c>
      <c r="D20" s="61" t="s">
        <v>29</v>
      </c>
      <c r="E20" s="85"/>
      <c r="F20" s="85"/>
      <c r="G20" s="85"/>
      <c r="H20" s="85"/>
      <c r="I20" s="27">
        <f t="shared" si="0"/>
        <v>0</v>
      </c>
      <c r="J20" s="27">
        <f>'Não Apagar'!$J$3</f>
        <v>8</v>
      </c>
      <c r="K20" s="28">
        <f>IF(I21=0,-'Não Apagar'!$J$3,I21-J21)</f>
        <v>-8</v>
      </c>
      <c r="L20" s="76">
        <f t="shared" si="1"/>
        <v>-1248</v>
      </c>
      <c r="P20" s="6">
        <v>1</v>
      </c>
    </row>
    <row r="21" spans="1:16" x14ac:dyDescent="0.3">
      <c r="A21" s="6">
        <v>1</v>
      </c>
      <c r="C21" s="60">
        <v>46365</v>
      </c>
      <c r="D21" s="61" t="s">
        <v>34</v>
      </c>
      <c r="E21" s="85"/>
      <c r="F21" s="85"/>
      <c r="G21" s="85"/>
      <c r="H21" s="85"/>
      <c r="I21" s="27">
        <f t="shared" si="0"/>
        <v>0</v>
      </c>
      <c r="J21" s="27">
        <f>'Não Apagar'!$J$3</f>
        <v>8</v>
      </c>
      <c r="K21" s="28">
        <f>IF(I22=0,-'Não Apagar'!$J$3,I22-J22)</f>
        <v>-8</v>
      </c>
      <c r="L21" s="76">
        <f t="shared" si="1"/>
        <v>-1256</v>
      </c>
      <c r="P21" s="6">
        <v>1</v>
      </c>
    </row>
    <row r="22" spans="1:16" x14ac:dyDescent="0.3">
      <c r="A22" s="6">
        <v>1</v>
      </c>
      <c r="C22" s="60">
        <v>46366</v>
      </c>
      <c r="D22" s="61" t="s">
        <v>38</v>
      </c>
      <c r="E22" s="85"/>
      <c r="F22" s="85"/>
      <c r="G22" s="85"/>
      <c r="H22" s="85"/>
      <c r="I22" s="27">
        <f t="shared" si="0"/>
        <v>0</v>
      </c>
      <c r="J22" s="27">
        <f>'Não Apagar'!$J$3</f>
        <v>8</v>
      </c>
      <c r="K22" s="28">
        <f>IF(I23=0,-'Não Apagar'!$J$3,I23-J23)</f>
        <v>-8</v>
      </c>
      <c r="L22" s="76">
        <f t="shared" si="1"/>
        <v>-1264</v>
      </c>
      <c r="P22" s="6">
        <v>1</v>
      </c>
    </row>
    <row r="23" spans="1:16" x14ac:dyDescent="0.3">
      <c r="A23" s="6">
        <v>1</v>
      </c>
      <c r="C23" s="60">
        <v>46367</v>
      </c>
      <c r="D23" s="61" t="s">
        <v>35</v>
      </c>
      <c r="E23" s="85"/>
      <c r="F23" s="85"/>
      <c r="G23" s="85"/>
      <c r="H23" s="85"/>
      <c r="I23" s="27">
        <f t="shared" si="0"/>
        <v>0</v>
      </c>
      <c r="J23" s="27">
        <f>'Não Apagar'!$J$3</f>
        <v>8</v>
      </c>
      <c r="K23" s="28">
        <f>IF(I24=0,-'Não Apagar'!$J$3,I24-J24)</f>
        <v>-8</v>
      </c>
      <c r="L23" s="76">
        <f t="shared" si="1"/>
        <v>-1272</v>
      </c>
      <c r="P23" s="6">
        <v>1</v>
      </c>
    </row>
    <row r="24" spans="1:16" x14ac:dyDescent="0.3">
      <c r="A24" s="6">
        <v>1</v>
      </c>
      <c r="C24" s="64">
        <v>46368</v>
      </c>
      <c r="D24" s="65" t="s">
        <v>36</v>
      </c>
      <c r="E24" s="86"/>
      <c r="F24" s="86"/>
      <c r="G24" s="86"/>
      <c r="H24" s="86"/>
      <c r="I24" s="86"/>
      <c r="J24" s="86"/>
      <c r="K24" s="86"/>
      <c r="L24" s="86"/>
      <c r="P24" s="6">
        <v>1</v>
      </c>
    </row>
    <row r="25" spans="1:16" x14ac:dyDescent="0.3">
      <c r="A25" s="6">
        <v>1</v>
      </c>
      <c r="C25" s="64">
        <v>46369</v>
      </c>
      <c r="D25" s="65" t="s">
        <v>37</v>
      </c>
      <c r="E25" s="86"/>
      <c r="F25" s="86"/>
      <c r="G25" s="86"/>
      <c r="H25" s="86"/>
      <c r="I25" s="86"/>
      <c r="J25" s="86"/>
      <c r="K25" s="86"/>
      <c r="L25" s="86"/>
      <c r="P25" s="6">
        <v>1</v>
      </c>
    </row>
    <row r="26" spans="1:16" x14ac:dyDescent="0.3">
      <c r="A26" s="6">
        <v>1</v>
      </c>
      <c r="C26" s="60">
        <v>46370</v>
      </c>
      <c r="D26" s="61" t="s">
        <v>30</v>
      </c>
      <c r="E26" s="85"/>
      <c r="F26" s="85"/>
      <c r="G26" s="85"/>
      <c r="H26" s="85"/>
      <c r="I26" s="27">
        <f t="shared" si="0"/>
        <v>0</v>
      </c>
      <c r="J26" s="27">
        <f>'Não Apagar'!$J$3</f>
        <v>8</v>
      </c>
      <c r="K26" s="28">
        <f>IF(I27=0,-'Não Apagar'!$J$3,I27-J27)</f>
        <v>-8</v>
      </c>
      <c r="L26" s="76">
        <f>K26+L23</f>
        <v>-1280</v>
      </c>
      <c r="P26" s="6">
        <v>1</v>
      </c>
    </row>
    <row r="27" spans="1:16" x14ac:dyDescent="0.3">
      <c r="A27" s="6">
        <v>1</v>
      </c>
      <c r="C27" s="60">
        <v>46371</v>
      </c>
      <c r="D27" s="61" t="s">
        <v>29</v>
      </c>
      <c r="E27" s="85"/>
      <c r="F27" s="85"/>
      <c r="G27" s="85"/>
      <c r="H27" s="85"/>
      <c r="I27" s="27">
        <f t="shared" si="0"/>
        <v>0</v>
      </c>
      <c r="J27" s="27">
        <f>'Não Apagar'!$J$3</f>
        <v>8</v>
      </c>
      <c r="K27" s="28">
        <f>IF(I28=0,-'Não Apagar'!$J$3,I28-J28)</f>
        <v>-8</v>
      </c>
      <c r="L27" s="76">
        <f t="shared" si="1"/>
        <v>-1288</v>
      </c>
      <c r="P27" s="6">
        <v>1</v>
      </c>
    </row>
    <row r="28" spans="1:16" x14ac:dyDescent="0.3">
      <c r="A28" s="6">
        <v>1</v>
      </c>
      <c r="C28" s="60">
        <v>46372</v>
      </c>
      <c r="D28" s="61" t="s">
        <v>34</v>
      </c>
      <c r="E28" s="85"/>
      <c r="F28" s="85"/>
      <c r="G28" s="85"/>
      <c r="H28" s="85"/>
      <c r="I28" s="27">
        <f t="shared" si="0"/>
        <v>0</v>
      </c>
      <c r="J28" s="27">
        <f>'Não Apagar'!$J$3</f>
        <v>8</v>
      </c>
      <c r="K28" s="28">
        <f>IF(I29=0,-'Não Apagar'!$J$3,I29-J29)</f>
        <v>-8</v>
      </c>
      <c r="L28" s="76">
        <f t="shared" si="1"/>
        <v>-1296</v>
      </c>
      <c r="P28" s="6">
        <v>1</v>
      </c>
    </row>
    <row r="29" spans="1:16" x14ac:dyDescent="0.3">
      <c r="A29" s="6">
        <v>1</v>
      </c>
      <c r="C29" s="60">
        <v>46373</v>
      </c>
      <c r="D29" s="61" t="s">
        <v>38</v>
      </c>
      <c r="E29" s="85"/>
      <c r="F29" s="85"/>
      <c r="G29" s="85"/>
      <c r="H29" s="85"/>
      <c r="I29" s="27">
        <f t="shared" si="0"/>
        <v>0</v>
      </c>
      <c r="J29" s="27">
        <f>'Não Apagar'!$J$3</f>
        <v>8</v>
      </c>
      <c r="K29" s="28">
        <f>IF(I30=0,-'Não Apagar'!$J$3,I30-J30)</f>
        <v>-8</v>
      </c>
      <c r="L29" s="76">
        <f t="shared" si="1"/>
        <v>-1304</v>
      </c>
      <c r="P29" s="6">
        <v>1</v>
      </c>
    </row>
    <row r="30" spans="1:16" x14ac:dyDescent="0.3">
      <c r="A30" s="6">
        <v>1</v>
      </c>
      <c r="C30" s="60">
        <v>46374</v>
      </c>
      <c r="D30" s="61" t="s">
        <v>35</v>
      </c>
      <c r="E30" s="85"/>
      <c r="F30" s="85"/>
      <c r="G30" s="85"/>
      <c r="H30" s="85"/>
      <c r="I30" s="27">
        <f t="shared" si="0"/>
        <v>0</v>
      </c>
      <c r="J30" s="27">
        <f>'Não Apagar'!$J$3</f>
        <v>8</v>
      </c>
      <c r="K30" s="28">
        <f>IF(I31=0,-'Não Apagar'!$J$3,I31-J31)</f>
        <v>-8</v>
      </c>
      <c r="L30" s="76">
        <f t="shared" si="1"/>
        <v>-1312</v>
      </c>
      <c r="P30" s="6">
        <v>1</v>
      </c>
    </row>
    <row r="31" spans="1:16" x14ac:dyDescent="0.3">
      <c r="A31" s="6">
        <v>1</v>
      </c>
      <c r="C31" s="64">
        <v>46375</v>
      </c>
      <c r="D31" s="65" t="s">
        <v>36</v>
      </c>
      <c r="E31" s="86"/>
      <c r="F31" s="86"/>
      <c r="G31" s="86"/>
      <c r="H31" s="86"/>
      <c r="I31" s="86"/>
      <c r="J31" s="86"/>
      <c r="K31" s="86"/>
      <c r="L31" s="86"/>
      <c r="P31" s="6">
        <v>1</v>
      </c>
    </row>
    <row r="32" spans="1:16" x14ac:dyDescent="0.3">
      <c r="A32" s="6">
        <v>1</v>
      </c>
      <c r="C32" s="64">
        <v>46376</v>
      </c>
      <c r="D32" s="65" t="s">
        <v>37</v>
      </c>
      <c r="E32" s="86"/>
      <c r="F32" s="86"/>
      <c r="G32" s="86"/>
      <c r="H32" s="86"/>
      <c r="I32" s="86"/>
      <c r="J32" s="86"/>
      <c r="K32" s="86"/>
      <c r="L32" s="86"/>
      <c r="P32" s="6">
        <v>1</v>
      </c>
    </row>
    <row r="33" spans="1:16" x14ac:dyDescent="0.3">
      <c r="A33" s="6">
        <v>1</v>
      </c>
      <c r="C33" s="60">
        <v>46377</v>
      </c>
      <c r="D33" s="61" t="s">
        <v>30</v>
      </c>
      <c r="E33" s="85"/>
      <c r="F33" s="85"/>
      <c r="G33" s="85"/>
      <c r="H33" s="85"/>
      <c r="I33" s="27">
        <f t="shared" si="0"/>
        <v>0</v>
      </c>
      <c r="J33" s="27">
        <f>'Não Apagar'!$J$3</f>
        <v>8</v>
      </c>
      <c r="K33" s="28">
        <f>IF(I34=0,-'Não Apagar'!$J$3,I34-J34)</f>
        <v>-8</v>
      </c>
      <c r="L33" s="76">
        <f>K33+L30</f>
        <v>-1320</v>
      </c>
      <c r="P33" s="6">
        <v>1</v>
      </c>
    </row>
    <row r="34" spans="1:16" x14ac:dyDescent="0.3">
      <c r="A34" s="6">
        <v>1</v>
      </c>
      <c r="C34" s="60">
        <v>46378</v>
      </c>
      <c r="D34" s="61" t="s">
        <v>29</v>
      </c>
      <c r="E34" s="85"/>
      <c r="F34" s="85"/>
      <c r="G34" s="85"/>
      <c r="H34" s="85"/>
      <c r="I34" s="27">
        <f t="shared" si="0"/>
        <v>0</v>
      </c>
      <c r="J34" s="27">
        <f>'Não Apagar'!$J$3</f>
        <v>8</v>
      </c>
      <c r="K34" s="28">
        <f>IF(I35=0,-'Não Apagar'!$J$3,I35-J35)</f>
        <v>-8</v>
      </c>
      <c r="L34" s="76">
        <f t="shared" si="1"/>
        <v>-1328</v>
      </c>
      <c r="P34" s="6">
        <v>1</v>
      </c>
    </row>
    <row r="35" spans="1:16" x14ac:dyDescent="0.3">
      <c r="A35" s="6">
        <v>1</v>
      </c>
      <c r="C35" s="60">
        <v>46379</v>
      </c>
      <c r="D35" s="61" t="s">
        <v>34</v>
      </c>
      <c r="E35" s="85"/>
      <c r="F35" s="85"/>
      <c r="G35" s="85"/>
      <c r="H35" s="85"/>
      <c r="I35" s="27">
        <f t="shared" si="0"/>
        <v>0</v>
      </c>
      <c r="J35" s="27">
        <f>'Não Apagar'!$J$3</f>
        <v>8</v>
      </c>
      <c r="K35" s="28">
        <f>IF(I36=0,-'Não Apagar'!$J$3,I36-J36)</f>
        <v>-8</v>
      </c>
      <c r="L35" s="76">
        <f t="shared" si="1"/>
        <v>-1336</v>
      </c>
      <c r="P35" s="6">
        <v>1</v>
      </c>
    </row>
    <row r="36" spans="1:16" x14ac:dyDescent="0.3">
      <c r="A36" s="6">
        <v>1</v>
      </c>
      <c r="C36" s="60">
        <v>46380</v>
      </c>
      <c r="D36" s="61" t="s">
        <v>38</v>
      </c>
      <c r="E36" s="85"/>
      <c r="F36" s="85"/>
      <c r="G36" s="85"/>
      <c r="H36" s="85"/>
      <c r="I36" s="27">
        <f t="shared" si="0"/>
        <v>0</v>
      </c>
      <c r="J36" s="27">
        <f>'Não Apagar'!$J$3</f>
        <v>8</v>
      </c>
      <c r="K36" s="28">
        <f>IF(I37=0,-'Não Apagar'!$J$3,I37-J37)</f>
        <v>-8</v>
      </c>
      <c r="L36" s="76">
        <f t="shared" si="1"/>
        <v>-1344</v>
      </c>
      <c r="P36" s="6">
        <v>1</v>
      </c>
    </row>
    <row r="37" spans="1:16" x14ac:dyDescent="0.3">
      <c r="A37" s="6">
        <v>1</v>
      </c>
      <c r="C37" s="60">
        <v>46381</v>
      </c>
      <c r="D37" s="61" t="s">
        <v>35</v>
      </c>
      <c r="E37" s="85"/>
      <c r="F37" s="85"/>
      <c r="G37" s="85"/>
      <c r="H37" s="85"/>
      <c r="I37" s="27">
        <f t="shared" si="0"/>
        <v>0</v>
      </c>
      <c r="J37" s="27">
        <f>'Não Apagar'!$J$3</f>
        <v>8</v>
      </c>
      <c r="K37" s="28">
        <f>IF(I38=0,-'Não Apagar'!$J$3,I38-J38)</f>
        <v>-8</v>
      </c>
      <c r="L37" s="76">
        <f t="shared" si="1"/>
        <v>-1352</v>
      </c>
      <c r="P37" s="6">
        <v>1</v>
      </c>
    </row>
    <row r="38" spans="1:16" x14ac:dyDescent="0.3">
      <c r="A38" s="6">
        <v>1</v>
      </c>
      <c r="C38" s="64">
        <v>46382</v>
      </c>
      <c r="D38" s="65" t="s">
        <v>36</v>
      </c>
      <c r="E38" s="86"/>
      <c r="F38" s="86"/>
      <c r="G38" s="86"/>
      <c r="H38" s="86"/>
      <c r="I38" s="86"/>
      <c r="J38" s="86"/>
      <c r="K38" s="86"/>
      <c r="L38" s="86"/>
      <c r="P38" s="6">
        <v>1</v>
      </c>
    </row>
    <row r="39" spans="1:16" x14ac:dyDescent="0.3">
      <c r="A39" s="6">
        <v>1</v>
      </c>
      <c r="C39" s="64">
        <v>46383</v>
      </c>
      <c r="D39" s="65" t="s">
        <v>37</v>
      </c>
      <c r="E39" s="86"/>
      <c r="F39" s="86"/>
      <c r="G39" s="86"/>
      <c r="H39" s="86"/>
      <c r="I39" s="86"/>
      <c r="J39" s="86"/>
      <c r="K39" s="86"/>
      <c r="L39" s="86"/>
      <c r="P39" s="6">
        <v>1</v>
      </c>
    </row>
    <row r="40" spans="1:16" x14ac:dyDescent="0.3">
      <c r="A40" s="6">
        <v>1</v>
      </c>
      <c r="C40" s="60">
        <v>46384</v>
      </c>
      <c r="D40" s="61" t="s">
        <v>30</v>
      </c>
      <c r="E40" s="85"/>
      <c r="F40" s="85"/>
      <c r="G40" s="85"/>
      <c r="H40" s="85"/>
      <c r="I40" s="27">
        <f t="shared" si="0"/>
        <v>0</v>
      </c>
      <c r="J40" s="27">
        <f>'Não Apagar'!$J$3</f>
        <v>8</v>
      </c>
      <c r="K40" s="28">
        <f>IF(I41=0,-'Não Apagar'!$J$3,I41-J41)</f>
        <v>-8</v>
      </c>
      <c r="L40" s="76">
        <f>K40+L37</f>
        <v>-1360</v>
      </c>
      <c r="P40" s="6">
        <v>1</v>
      </c>
    </row>
    <row r="41" spans="1:16" x14ac:dyDescent="0.3">
      <c r="A41" s="6">
        <v>1</v>
      </c>
      <c r="C41" s="60">
        <v>46385</v>
      </c>
      <c r="D41" s="61" t="s">
        <v>29</v>
      </c>
      <c r="E41" s="85"/>
      <c r="F41" s="85"/>
      <c r="G41" s="85"/>
      <c r="H41" s="85"/>
      <c r="I41" s="27">
        <f t="shared" si="0"/>
        <v>0</v>
      </c>
      <c r="J41" s="27">
        <f>'Não Apagar'!$J$3</f>
        <v>8</v>
      </c>
      <c r="K41" s="28">
        <f>IF(I42=0,-'Não Apagar'!$J$3,I42-J42)</f>
        <v>-8</v>
      </c>
      <c r="L41" s="76">
        <f t="shared" si="1"/>
        <v>-1368</v>
      </c>
      <c r="P41" s="6">
        <v>1</v>
      </c>
    </row>
    <row r="42" spans="1:16" x14ac:dyDescent="0.3">
      <c r="A42" s="6">
        <v>1</v>
      </c>
      <c r="B42" s="68"/>
      <c r="C42" s="60">
        <v>46386</v>
      </c>
      <c r="D42" s="61" t="s">
        <v>34</v>
      </c>
      <c r="E42" s="85"/>
      <c r="F42" s="85"/>
      <c r="G42" s="85"/>
      <c r="H42" s="85"/>
      <c r="I42" s="27">
        <f t="shared" si="0"/>
        <v>0</v>
      </c>
      <c r="J42" s="27">
        <f>'Não Apagar'!$J$3</f>
        <v>8</v>
      </c>
      <c r="K42" s="28">
        <f>IF(I43=0,-'Não Apagar'!$J$3,I43-J43)</f>
        <v>-8</v>
      </c>
      <c r="L42" s="76">
        <f t="shared" si="1"/>
        <v>-1376</v>
      </c>
      <c r="P42" s="6">
        <v>1</v>
      </c>
    </row>
    <row r="43" spans="1:16" x14ac:dyDescent="0.3">
      <c r="A43" s="6">
        <v>1</v>
      </c>
      <c r="B43" s="68"/>
      <c r="C43" s="60">
        <v>46387</v>
      </c>
      <c r="D43" s="61" t="s">
        <v>38</v>
      </c>
      <c r="E43" s="88"/>
      <c r="F43" s="88"/>
      <c r="G43" s="88"/>
      <c r="H43" s="88"/>
      <c r="I43" s="27">
        <f t="shared" ref="I43" si="2">((H43-E43)-(G43-F43))*24</f>
        <v>0</v>
      </c>
      <c r="J43" s="27">
        <f>'Não Apagar'!$J$3</f>
        <v>8</v>
      </c>
      <c r="K43" s="28">
        <f>IF(I44=0,-'Não Apagar'!$J$3,I44-J44)</f>
        <v>-8</v>
      </c>
      <c r="L43" s="76">
        <f t="shared" ref="L43" si="3">K43+L42</f>
        <v>-1384</v>
      </c>
      <c r="P43" s="6">
        <v>1</v>
      </c>
    </row>
    <row r="44" spans="1:16" x14ac:dyDescent="0.3">
      <c r="A44" s="6">
        <v>1</v>
      </c>
      <c r="B44" s="68"/>
      <c r="C44" s="69"/>
      <c r="D44" s="70"/>
      <c r="E44" s="75"/>
      <c r="F44" s="75"/>
      <c r="G44" s="75"/>
      <c r="H44" s="75"/>
      <c r="I44" s="27"/>
      <c r="J44" s="27"/>
      <c r="K44" s="28"/>
      <c r="L44" s="36"/>
      <c r="P44" s="6">
        <v>1</v>
      </c>
    </row>
    <row r="45" spans="1:16" ht="15" thickBot="1" x14ac:dyDescent="0.3">
      <c r="A45" s="6">
        <v>1</v>
      </c>
      <c r="L45" s="36"/>
      <c r="P45" s="6">
        <v>1</v>
      </c>
    </row>
    <row r="46" spans="1:16" ht="15" thickBot="1" x14ac:dyDescent="0.3">
      <c r="A46" s="6">
        <v>1</v>
      </c>
      <c r="J46" s="30" t="s">
        <v>19</v>
      </c>
      <c r="K46" s="31"/>
      <c r="L46" s="77">
        <f>L43</f>
        <v>-1384</v>
      </c>
      <c r="P46" s="6">
        <v>1</v>
      </c>
    </row>
    <row r="47" spans="1:16" x14ac:dyDescent="0.25">
      <c r="A47" s="6"/>
      <c r="P47" s="6"/>
    </row>
    <row r="48" spans="1:16" x14ac:dyDescent="0.25">
      <c r="A48" s="6"/>
      <c r="P48" s="6"/>
    </row>
    <row r="49" spans="1:16" x14ac:dyDescent="0.25">
      <c r="A49" s="6"/>
      <c r="P49" s="6"/>
    </row>
    <row r="50" spans="1:16" x14ac:dyDescent="0.25">
      <c r="A50" s="6"/>
      <c r="P50" s="6"/>
    </row>
    <row r="51" spans="1:16" x14ac:dyDescent="0.25">
      <c r="A51" s="6"/>
      <c r="P51" s="6"/>
    </row>
    <row r="52" spans="1:16" x14ac:dyDescent="0.25">
      <c r="A52" s="6"/>
      <c r="P52" s="6"/>
    </row>
    <row r="53" spans="1:16" x14ac:dyDescent="0.25">
      <c r="A53" s="6">
        <v>1</v>
      </c>
      <c r="C53" s="22"/>
      <c r="D53" s="22"/>
      <c r="E53" s="11"/>
      <c r="F53" s="11"/>
      <c r="G53" s="11"/>
      <c r="H53" s="11"/>
      <c r="I53" s="22"/>
      <c r="P53" s="6">
        <v>1</v>
      </c>
    </row>
    <row r="54" spans="1:16" x14ac:dyDescent="0.25">
      <c r="A54" s="6">
        <v>1</v>
      </c>
      <c r="C54" s="92">
        <f ca="1">TODAY()</f>
        <v>46037</v>
      </c>
      <c r="D54" s="92"/>
      <c r="E54" s="92"/>
      <c r="F54" s="92"/>
      <c r="G54" s="92"/>
      <c r="H54" s="92"/>
      <c r="I54" s="92"/>
      <c r="P54" s="6">
        <v>1</v>
      </c>
    </row>
    <row r="55" spans="1:16" x14ac:dyDescent="0.25">
      <c r="A55" s="6">
        <v>1</v>
      </c>
      <c r="P55" s="6">
        <v>1</v>
      </c>
    </row>
    <row r="56" spans="1:16" x14ac:dyDescent="0.25">
      <c r="A56" s="6">
        <v>1</v>
      </c>
      <c r="P56" s="6">
        <v>1</v>
      </c>
    </row>
    <row r="57" spans="1:16" x14ac:dyDescent="0.25">
      <c r="A57" s="6">
        <v>1</v>
      </c>
      <c r="P57" s="6">
        <v>1</v>
      </c>
    </row>
    <row r="58" spans="1:16" x14ac:dyDescent="0.25">
      <c r="A58" s="6">
        <v>1</v>
      </c>
      <c r="P58" s="6">
        <v>1</v>
      </c>
    </row>
    <row r="59" spans="1:16" x14ac:dyDescent="0.25">
      <c r="A59" s="6">
        <v>1</v>
      </c>
      <c r="P59" s="6">
        <v>1</v>
      </c>
    </row>
    <row r="60" spans="1:16" x14ac:dyDescent="0.25">
      <c r="A60" s="6">
        <v>1</v>
      </c>
      <c r="P60" s="6">
        <v>1</v>
      </c>
    </row>
    <row r="61" spans="1:16" x14ac:dyDescent="0.25">
      <c r="A61" s="6">
        <v>1</v>
      </c>
      <c r="P61" s="6">
        <v>1</v>
      </c>
    </row>
    <row r="62" spans="1:16" x14ac:dyDescent="0.25">
      <c r="A62" s="6">
        <v>1</v>
      </c>
      <c r="B62" s="6">
        <v>1</v>
      </c>
      <c r="C62" s="6">
        <v>1</v>
      </c>
      <c r="D62" s="6">
        <v>1</v>
      </c>
      <c r="E62" s="72">
        <v>1</v>
      </c>
      <c r="F62" s="72">
        <v>1</v>
      </c>
      <c r="G62" s="72">
        <v>1</v>
      </c>
      <c r="H62" s="72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</row>
  </sheetData>
  <sheetProtection algorithmName="SHA-512" hashValue="HGWb+SdIeF/tu9wcqolpribGFLQlfBoKUaLovxC4LOgfxw/7B6bHz9mVIOn+h8qNrUhUf1ZkeCx4ePUqMY+dqA==" saltValue="frxC1hy/ihwRJxdIbM4C2A==" spinCount="100000" sheet="1" objects="1" scenarios="1"/>
  <mergeCells count="4">
    <mergeCell ref="D5:G5"/>
    <mergeCell ref="D6:G6"/>
    <mergeCell ref="C11:L11"/>
    <mergeCell ref="C54:I54"/>
  </mergeCell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3"/>
  <dimension ref="A2:K9"/>
  <sheetViews>
    <sheetView showGridLines="0" tabSelected="1" topLeftCell="E1" workbookViewId="0">
      <selection activeCell="L9" sqref="L9"/>
    </sheetView>
  </sheetViews>
  <sheetFormatPr defaultColWidth="9" defaultRowHeight="14.4" x14ac:dyDescent="0.25"/>
  <cols>
    <col min="1" max="1" width="9" hidden="1" customWidth="1"/>
    <col min="2" max="2" width="14.44140625" hidden="1" customWidth="1"/>
    <col min="3" max="4" width="9" hidden="1" customWidth="1"/>
  </cols>
  <sheetData>
    <row r="2" spans="2:11" ht="15" thickBot="1" x14ac:dyDescent="0.3"/>
    <row r="3" spans="2:11" ht="15.6" thickBot="1" x14ac:dyDescent="0.35">
      <c r="B3" s="1">
        <f t="shared" ref="B3:B8" si="0">B4-1</f>
        <v>1</v>
      </c>
      <c r="C3" s="2" t="s">
        <v>30</v>
      </c>
      <c r="F3" s="3" t="s">
        <v>31</v>
      </c>
      <c r="I3" s="59" t="s">
        <v>32</v>
      </c>
      <c r="J3" s="4">
        <v>8</v>
      </c>
      <c r="K3" s="5" t="s">
        <v>33</v>
      </c>
    </row>
    <row r="4" spans="2:11" x14ac:dyDescent="0.25">
      <c r="B4" s="1">
        <f t="shared" si="0"/>
        <v>2</v>
      </c>
      <c r="C4" s="2" t="s">
        <v>29</v>
      </c>
    </row>
    <row r="5" spans="2:11" x14ac:dyDescent="0.25">
      <c r="B5" s="1">
        <f t="shared" si="0"/>
        <v>3</v>
      </c>
      <c r="C5" s="2" t="s">
        <v>34</v>
      </c>
    </row>
    <row r="6" spans="2:11" ht="15" x14ac:dyDescent="0.3">
      <c r="B6" s="1">
        <f t="shared" si="0"/>
        <v>4</v>
      </c>
      <c r="C6" s="2" t="s">
        <v>30</v>
      </c>
      <c r="F6" s="3"/>
      <c r="I6" s="59"/>
      <c r="K6" s="5"/>
    </row>
    <row r="7" spans="2:11" x14ac:dyDescent="0.25">
      <c r="B7" s="1">
        <f t="shared" si="0"/>
        <v>5</v>
      </c>
      <c r="C7" s="2" t="s">
        <v>35</v>
      </c>
    </row>
    <row r="8" spans="2:11" x14ac:dyDescent="0.25">
      <c r="B8" s="1">
        <f t="shared" si="0"/>
        <v>6</v>
      </c>
      <c r="C8" s="2" t="s">
        <v>36</v>
      </c>
    </row>
    <row r="9" spans="2:11" x14ac:dyDescent="0.25">
      <c r="B9" s="1">
        <v>7</v>
      </c>
      <c r="C9" s="2" t="s">
        <v>37</v>
      </c>
    </row>
  </sheetData>
  <sheetProtection algorithmName="SHA-512" hashValue="bDi9Dg1TenNGl70osaBiE70VJH9Ovlm7tk3jYmuR0e9IbRBeHiqpv/+5LBUPZx3vtc2JdM868SFGKQmmtLW/KA==" saltValue="t9s22gyYt2Ypo3gpeZvhUg==" spinCount="100000" sheet="1" objects="1" scenarios="1"/>
  <dataValidations count="1">
    <dataValidation type="list" allowBlank="1" showInputMessage="1" showErrorMessage="1" sqref="J3" xr:uid="{68B70D68-960B-42D4-82CB-91B9CD933ACF}">
      <mc:AlternateContent xmlns:x12ac="http://schemas.microsoft.com/office/spreadsheetml/2011/1/ac" xmlns:mc="http://schemas.openxmlformats.org/markup-compatibility/2006">
        <mc:Choice Requires="x12ac">
          <x12ac:list>4,6,8,"8,5"</x12ac:list>
        </mc:Choice>
        <mc:Fallback>
          <formula1>"4,6,8,8,5"</formula1>
        </mc:Fallback>
      </mc:AlternateContent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6" master="" otherUserPermission="visible">
    <arrUserId title="Intervalo9" rangeCreator="" othersAccessPermission="edit"/>
    <arrUserId title="Intervalo1_6" rangeCreator="" othersAccessPermission="edit"/>
    <arrUserId title="Intervalo1_5" rangeCreator="" othersAccessPermission="edit"/>
    <arrUserId title="Intervalo1_4" rangeCreator="" othersAccessPermission="edit"/>
    <arrUserId title="Intervalo1_3" rangeCreator="" othersAccessPermission="edit"/>
    <arrUserId title="Intervalo1_2" rangeCreator="" othersAccessPermission="edit"/>
    <arrUserId title="Intervalo1_1" rangeCreator="" othersAccessPermission="edit"/>
    <arrUserId title="Intervalo1" rangeCreator="" othersAccessPermission="edit"/>
    <arrUserId title="Intervalo2" rangeCreator="" othersAccessPermission="edit"/>
  </rangeList>
  <rangeList sheetStid="17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  <arrUserId title="Intervalo1_6" rangeCreator="" othersAccessPermission="edit"/>
    <arrUserId title="Intervalo1_6_1" rangeCreator="" othersAccessPermission="edit"/>
    <arrUserId title="Intervalo1_1_1" rangeCreator="" othersAccessPermission="edit"/>
    <arrUserId title="Intervalo1_1_2" rangeCreator="" othersAccessPermission="edit"/>
    <arrUserId title="Intervalo1_1_3" rangeCreator="" othersAccessPermission="edit"/>
    <arrUserId title="Intervalo1_1_4" rangeCreator="" othersAccessPermission="edit"/>
    <arrUserId title="Intervalo1_1_5" rangeCreator="" othersAccessPermission="edit"/>
  </rangeList>
  <rangeList sheetStid="18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  <arrUserId title="Intervalo1_1_1" rangeCreator="" othersAccessPermission="edit"/>
    <arrUserId title="Intervalo1_1_1_1" rangeCreator="" othersAccessPermission="edit"/>
  </rangeList>
  <rangeList sheetStid="19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0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1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2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3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4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5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6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27" master="" otherUserPermission="visible">
    <arrUserId title="Intervalo2" rangeCreator="" othersAccessPermission="edit"/>
    <arrUserId title="Intervalo1" rangeCreator="" othersAccessPermission="edit"/>
    <arrUserId title="Intervalo1_1" rangeCreator="" othersAccessPermission="edit"/>
    <arrUserId title="Intervalo1_2" rangeCreator="" othersAccessPermission="edit"/>
    <arrUserId title="Intervalo1_3" rangeCreator="" othersAccessPermission="edit"/>
    <arrUserId title="Intervalo1_4" rangeCreator="" othersAccessPermission="edit"/>
    <arrUserId title="Intervalo1_5" rangeCreator="" othersAccessPermission="edit"/>
  </rangeList>
  <rangeList sheetStid="9" master="" otherUserPermission="visible"/>
</allowEditUser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4941FA937C7E4BA5966B1EBE73D1FF" ma:contentTypeVersion="11" ma:contentTypeDescription="Crie um novo documento." ma:contentTypeScope="" ma:versionID="aae68dd0b7ec4777e2584635ee6f8fa0">
  <xsd:schema xmlns:xsd="http://www.w3.org/2001/XMLSchema" xmlns:xs="http://www.w3.org/2001/XMLSchema" xmlns:p="http://schemas.microsoft.com/office/2006/metadata/properties" xmlns:ns2="f05df7af-86f6-4325-8e21-73f7800f33a7" xmlns:ns3="3e11e757-45f5-4ab5-ae98-328707efdc13" targetNamespace="http://schemas.microsoft.com/office/2006/metadata/properties" ma:root="true" ma:fieldsID="5194f41bb4504befa09d075ed0872951" ns2:_="" ns3:_="">
    <xsd:import namespace="f05df7af-86f6-4325-8e21-73f7800f33a7"/>
    <xsd:import namespace="3e11e757-45f5-4ab5-ae98-328707efd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df7af-86f6-4325-8e21-73f7800f33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911a511-64eb-49a5-8a00-e764496a8d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1e757-45f5-4ab5-ae98-328707efdc1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02e3ce-ee7c-4000-a78d-50bf142d4d90}" ma:internalName="TaxCatchAll" ma:showField="CatchAllData" ma:web="3e11e757-45f5-4ab5-ae98-328707efd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11e757-45f5-4ab5-ae98-328707efdc13" xsi:nil="true"/>
    <lcf76f155ced4ddcb4097134ff3c332f xmlns="f05df7af-86f6-4325-8e21-73f7800f33a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AB96D3E0-B61C-4946-A51E-B42E9636A1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B17E0-8D8F-47BD-9364-F73E69C65A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df7af-86f6-4325-8e21-73f7800f33a7"/>
    <ds:schemaRef ds:uri="3e11e757-45f5-4ab5-ae98-328707efd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9BF49F-A3BA-4B5C-B01F-2B53F7397204}">
  <ds:schemaRefs>
    <ds:schemaRef ds:uri="http://schemas.microsoft.com/office/2006/metadata/properties"/>
    <ds:schemaRef ds:uri="http://schemas.microsoft.com/office/infopath/2007/PartnerControls"/>
    <ds:schemaRef ds:uri="3e11e757-45f5-4ab5-ae98-328707efdc13"/>
    <ds:schemaRef ds:uri="f05df7af-86f6-4325-8e21-73f7800f33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Jan.25</vt:lpstr>
      <vt:lpstr>Fev.25</vt:lpstr>
      <vt:lpstr>Mar.25</vt:lpstr>
      <vt:lpstr>Abr.25</vt:lpstr>
      <vt:lpstr>Mai.25</vt:lpstr>
      <vt:lpstr>Jun.25</vt:lpstr>
      <vt:lpstr>Jul.25</vt:lpstr>
      <vt:lpstr>Ago.25</vt:lpstr>
      <vt:lpstr>Mai.26</vt:lpstr>
      <vt:lpstr>Jun.26</vt:lpstr>
      <vt:lpstr>Jul.26</vt:lpstr>
      <vt:lpstr>Ago.26</vt:lpstr>
      <vt:lpstr>Set.26</vt:lpstr>
      <vt:lpstr>Out.26</vt:lpstr>
      <vt:lpstr>Nov.26</vt:lpstr>
      <vt:lpstr>Dez.26</vt:lpstr>
      <vt:lpstr>Não Apagar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Pimenta</dc:creator>
  <cp:keywords/>
  <dc:description/>
  <cp:lastModifiedBy>Matheus  Rodrigues Vieira</cp:lastModifiedBy>
  <cp:revision/>
  <dcterms:created xsi:type="dcterms:W3CDTF">2024-05-27T14:11:00Z</dcterms:created>
  <dcterms:modified xsi:type="dcterms:W3CDTF">2026-01-15T16:58:20Z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0x0101002F4941FA937C7E4BA5966B1EBE73D1FF</vt:lpwstr>
  </property>
  <property fmtid="{D5CDD505-2E9C-101B-9397-08002B2CF9AE}" pid="3" name="ICV">
    <vt:lpwstr>503589B1A944433EBF33307CAAA25C00_13</vt:lpwstr>
  </property>
  <property fmtid="{D5CDD505-2E9C-101B-9397-08002B2CF9AE}" pid="4" name="KSOProductBuildVer">
    <vt:lpwstr>1046-12.2.0.21179</vt:lpwstr>
  </property>
</Properties>
</file>